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otes" sheetId="1" state="visible" r:id="rId3"/>
    <sheet name="Summary" sheetId="2" state="visible" r:id="rId4"/>
    <sheet name="Sources &amp; No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<sst xmlns="http://schemas.openxmlformats.org/spreadsheetml/2006/main" count="663" uniqueCount="226">
  <si>
    <t xml:space="preserve">Department</t>
  </si>
  <si>
    <t xml:space="preserve">Nominee</t>
  </si>
  <si>
    <t xml:space="preserve">President</t>
  </si>
  <si>
    <t xml:space="preserve">Year</t>
  </si>
  <si>
    <t xml:space="preserve">Senate Action Date</t>
  </si>
  <si>
    <t xml:space="preserve">Congress</t>
  </si>
  <si>
    <t xml:space="preserve">Outcome</t>
  </si>
  <si>
    <t xml:space="preserve">Vote Type</t>
  </si>
  <si>
    <t xml:space="preserve">Yeas</t>
  </si>
  <si>
    <t xml:space="preserve">Nays</t>
  </si>
  <si>
    <t xml:space="preserve">Present</t>
  </si>
  <si>
    <t xml:space="preserve">Not Voting</t>
  </si>
  <si>
    <t xml:space="preserve">VP Tie-Break</t>
  </si>
  <si>
    <t xml:space="preserve">Margin (Yeas - Nays)</t>
  </si>
  <si>
    <t xml:space="preserve">Yea Share</t>
  </si>
  <si>
    <t xml:space="preserve">Senate Roll Call No.</t>
  </si>
  <si>
    <t xml:space="preserve">Voteview ID</t>
  </si>
  <si>
    <t xml:space="preserve">Not-Voting Source</t>
  </si>
  <si>
    <t xml:space="preserve">Notes</t>
  </si>
  <si>
    <t xml:space="preserve">State</t>
  </si>
  <si>
    <t xml:space="preserve">Elihu Root</t>
  </si>
  <si>
    <t xml:space="preserve">T. Roosevelt</t>
  </si>
  <si>
    <t xml:space="preserve">Confirmed</t>
  </si>
  <si>
    <t xml:space="preserve">No roll call recorded</t>
  </si>
  <si>
    <t xml:space="preserve">Robert Bacon</t>
  </si>
  <si>
    <t xml:space="preserve">Philander C. Knox</t>
  </si>
  <si>
    <t xml:space="preserve">Taft</t>
  </si>
  <si>
    <t xml:space="preserve">William Jennings Bryan</t>
  </si>
  <si>
    <t xml:space="preserve">Wilson</t>
  </si>
  <si>
    <t xml:space="preserve">Robert Lansing</t>
  </si>
  <si>
    <t xml:space="preserve">Bainbridge Colby</t>
  </si>
  <si>
    <t xml:space="preserve">Charles Evans Hughes</t>
  </si>
  <si>
    <t xml:space="preserve">Harding</t>
  </si>
  <si>
    <t xml:space="preserve">Frank B. Kellogg</t>
  </si>
  <si>
    <t xml:space="preserve">Coolidge</t>
  </si>
  <si>
    <t xml:space="preserve">A 1923 roll call (75-9) on Kellogg is for his nomination as Ambassador to the UK, not Secretary of State.</t>
  </si>
  <si>
    <t xml:space="preserve">Henry L. Stimson</t>
  </si>
  <si>
    <t xml:space="preserve">Hoover</t>
  </si>
  <si>
    <t xml:space="preserve">Cordell Hull</t>
  </si>
  <si>
    <t xml:space="preserve">F. Roosevelt</t>
  </si>
  <si>
    <t xml:space="preserve">Edward R. Stettinius Jr.</t>
  </si>
  <si>
    <t xml:space="preserve">Roll call</t>
  </si>
  <si>
    <t xml:space="preserve">RS0780206</t>
  </si>
  <si>
    <t xml:space="preserve">Voteview member codes (not yea/nay)</t>
  </si>
  <si>
    <t xml:space="preserve">Voteview spells the name 'STETINIUS'. Member codes total 95, implying one vacant seat.</t>
  </si>
  <si>
    <t xml:space="preserve">James F. Byrnes</t>
  </si>
  <si>
    <t xml:space="preserve">Truman</t>
  </si>
  <si>
    <t xml:space="preserve">George C. Marshall</t>
  </si>
  <si>
    <t xml:space="preserve">Dean Acheson</t>
  </si>
  <si>
    <t xml:space="preserve">RS0810006</t>
  </si>
  <si>
    <t xml:space="preserve">Derived: 96 seats - yeas - nays (see Notes)</t>
  </si>
  <si>
    <t xml:space="preserve">John Foster Dulles</t>
  </si>
  <si>
    <t xml:space="preserve">Eisenhower</t>
  </si>
  <si>
    <t xml:space="preserve">Christian A. Herter</t>
  </si>
  <si>
    <t xml:space="preserve">RS0860033</t>
  </si>
  <si>
    <t xml:space="preserve">98-seat Senate (Alaska admitted Jan. 1959; Hawaii not until Aug. 1959).</t>
  </si>
  <si>
    <t xml:space="preserve">Dean Rusk</t>
  </si>
  <si>
    <t xml:space="preserve">Kennedy</t>
  </si>
  <si>
    <t xml:space="preserve">William P. Rogers</t>
  </si>
  <si>
    <t xml:space="preserve">Nixon</t>
  </si>
  <si>
    <t xml:space="preserve">Henry A. Kissinger</t>
  </si>
  <si>
    <t xml:space="preserve">RS0930394</t>
  </si>
  <si>
    <t xml:space="preserve">Cyrus R. Vance</t>
  </si>
  <si>
    <t xml:space="preserve">Carter</t>
  </si>
  <si>
    <t xml:space="preserve">Voice vote</t>
  </si>
  <si>
    <t xml:space="preserve">Edmund S. Muskie</t>
  </si>
  <si>
    <t xml:space="preserve">RS0960610</t>
  </si>
  <si>
    <t xml:space="preserve">One senator recorded as present (Voteview code 8).</t>
  </si>
  <si>
    <t xml:space="preserve">Alexander M. Haig Jr.</t>
  </si>
  <si>
    <t xml:space="preserve">Reagan</t>
  </si>
  <si>
    <t xml:space="preserve">RS0970003</t>
  </si>
  <si>
    <t xml:space="preserve">George P. Shultz</t>
  </si>
  <si>
    <t xml:space="preserve">RS0970713</t>
  </si>
  <si>
    <t xml:space="preserve">Voteview spells the name 'SCHULTZ'.</t>
  </si>
  <si>
    <t xml:space="preserve">James A. Baker III</t>
  </si>
  <si>
    <t xml:space="preserve">G.H.W. Bush</t>
  </si>
  <si>
    <t xml:space="preserve">Senate roll call record (senate.gov)</t>
  </si>
  <si>
    <t xml:space="preserve">Lawrence S. Eagleburger</t>
  </si>
  <si>
    <t xml:space="preserve">Recess appointment</t>
  </si>
  <si>
    <t xml:space="preserve">No Senate vote</t>
  </si>
  <si>
    <t xml:space="preserve">Served on a recess appointment; the Senate took no action on the nomination.</t>
  </si>
  <si>
    <t xml:space="preserve">Warren Christopher</t>
  </si>
  <si>
    <t xml:space="preserve">Clinton</t>
  </si>
  <si>
    <t xml:space="preserve">Madeleine K. Albright</t>
  </si>
  <si>
    <t xml:space="preserve">Colin L. Powell</t>
  </si>
  <si>
    <t xml:space="preserve">G.W. Bush</t>
  </si>
  <si>
    <t xml:space="preserve">Condoleezza Rice</t>
  </si>
  <si>
    <t xml:space="preserve">Hillary Rodham Clinton</t>
  </si>
  <si>
    <t xml:space="preserve">Obama</t>
  </si>
  <si>
    <t xml:space="preserve">Two seats vacant on the vote date (94+2+2=98).</t>
  </si>
  <si>
    <t xml:space="preserve">John F. Kerry</t>
  </si>
  <si>
    <t xml:space="preserve">Kerry voted 'present' on his own nomination.</t>
  </si>
  <si>
    <t xml:space="preserve">Rex W. Tillerson</t>
  </si>
  <si>
    <t xml:space="preserve">Trump</t>
  </si>
  <si>
    <t xml:space="preserve">Mike Pompeo</t>
  </si>
  <si>
    <t xml:space="preserve">Antony J. Blinken</t>
  </si>
  <si>
    <t xml:space="preserve">Biden</t>
  </si>
  <si>
    <t xml:space="preserve">Marco Rubio</t>
  </si>
  <si>
    <t xml:space="preserve">99 senators: Rubio's own Florida seat was vacant.</t>
  </si>
  <si>
    <t xml:space="preserve">Treasury</t>
  </si>
  <si>
    <t xml:space="preserve">Leslie M. Shaw</t>
  </si>
  <si>
    <t xml:space="preserve">George B. Cortelyou</t>
  </si>
  <si>
    <t xml:space="preserve">Franklin MacVeagh</t>
  </si>
  <si>
    <t xml:space="preserve">William G. McAdoo</t>
  </si>
  <si>
    <t xml:space="preserve">Carter Glass</t>
  </si>
  <si>
    <t xml:space="preserve">David F. Houston</t>
  </si>
  <si>
    <t xml:space="preserve">Andrew W. Mellon</t>
  </si>
  <si>
    <t xml:space="preserve">Ogden L. Mills</t>
  </si>
  <si>
    <t xml:space="preserve">William H. Woodin</t>
  </si>
  <si>
    <t xml:space="preserve">Henry Morgenthau Jr.</t>
  </si>
  <si>
    <t xml:space="preserve">Fred M. Vinson</t>
  </si>
  <si>
    <t xml:space="preserve">John W. Snyder</t>
  </si>
  <si>
    <t xml:space="preserve">George M. Humphrey</t>
  </si>
  <si>
    <t xml:space="preserve">Robert B. Anderson</t>
  </si>
  <si>
    <t xml:space="preserve">C. Douglas Dillon</t>
  </si>
  <si>
    <t xml:space="preserve">Henry H. Fowler</t>
  </si>
  <si>
    <t xml:space="preserve">L. Johnson</t>
  </si>
  <si>
    <t xml:space="preserve">Joseph W. Barr</t>
  </si>
  <si>
    <t xml:space="preserve">Took office Dec. 1968 while the Senate was adjourned; served the final month of the Johnson administration without a Senate vote.</t>
  </si>
  <si>
    <t xml:space="preserve">David M. Kennedy</t>
  </si>
  <si>
    <t xml:space="preserve">John B. Connally</t>
  </si>
  <si>
    <t xml:space="preserve">RS0920604</t>
  </si>
  <si>
    <t xml:space="preserve">William E. Simon</t>
  </si>
  <si>
    <t xml:space="preserve">W. Michael Blumenthal</t>
  </si>
  <si>
    <t xml:space="preserve">G. William Miller</t>
  </si>
  <si>
    <t xml:space="preserve">RS0960247</t>
  </si>
  <si>
    <t xml:space="preserve">Donald T. Regan</t>
  </si>
  <si>
    <t xml:space="preserve">RS0970006</t>
  </si>
  <si>
    <t xml:space="preserve">RS0990001</t>
  </si>
  <si>
    <t xml:space="preserve">Nicholas F. Brady</t>
  </si>
  <si>
    <t xml:space="preserve">RS1000748</t>
  </si>
  <si>
    <t xml:space="preserve">Continued into the G.H.W. Bush administration without a new nomination.</t>
  </si>
  <si>
    <t xml:space="preserve">Lloyd Bentsen</t>
  </si>
  <si>
    <t xml:space="preserve">Robert E. Rubin</t>
  </si>
  <si>
    <t xml:space="preserve">Lawrence H. Summers</t>
  </si>
  <si>
    <t xml:space="preserve">Paul H. O'Neill</t>
  </si>
  <si>
    <t xml:space="preserve">John W. Snow</t>
  </si>
  <si>
    <t xml:space="preserve">Unanimous consent</t>
  </si>
  <si>
    <t xml:space="preserve">Henry M. Paulson Jr.</t>
  </si>
  <si>
    <t xml:space="preserve">Timothy F. Geithner</t>
  </si>
  <si>
    <t xml:space="preserve">Two seats vacant on the vote date (60+34+4=98).</t>
  </si>
  <si>
    <t xml:space="preserve">Jacob J. Lew</t>
  </si>
  <si>
    <t xml:space="preserve">Steven T. Mnuchin</t>
  </si>
  <si>
    <t xml:space="preserve">Janet L. Yellen</t>
  </si>
  <si>
    <t xml:space="preserve">Scott Bessent</t>
  </si>
  <si>
    <t xml:space="preserve">Defense</t>
  </si>
  <si>
    <t xml:space="preserve">James V. Forrestal</t>
  </si>
  <si>
    <t xml:space="preserve">First Secretary of Defense.</t>
  </si>
  <si>
    <t xml:space="preserve">Louis A. Johnson</t>
  </si>
  <si>
    <t xml:space="preserve">RS0810441</t>
  </si>
  <si>
    <t xml:space="preserve">Required a statutory waiver of the civilian-control rule; the Senate passed the waiver bill 47-21 on Sept. 15, 1950 (not counted here).</t>
  </si>
  <si>
    <t xml:space="preserve">Robert A. Lovett</t>
  </si>
  <si>
    <t xml:space="preserve">Charles E. Wilson</t>
  </si>
  <si>
    <t xml:space="preserve">RS0830003</t>
  </si>
  <si>
    <t xml:space="preserve">Neil H. McElroy</t>
  </si>
  <si>
    <t xml:space="preserve">Thomas S. Gates Jr.</t>
  </si>
  <si>
    <t xml:space="preserve">Robert S. McNamara</t>
  </si>
  <si>
    <t xml:space="preserve">Clark M. Clifford</t>
  </si>
  <si>
    <t xml:space="preserve">Melvin R. Laird</t>
  </si>
  <si>
    <t xml:space="preserve">Elliot L. Richardson</t>
  </si>
  <si>
    <t xml:space="preserve">RS0930003</t>
  </si>
  <si>
    <t xml:space="preserve">James R. Schlesinger</t>
  </si>
  <si>
    <t xml:space="preserve">RS0930243</t>
  </si>
  <si>
    <t xml:space="preserve">Donald H. Rumsfeld</t>
  </si>
  <si>
    <t xml:space="preserve">Ford</t>
  </si>
  <si>
    <t xml:space="preserve">RS0940497</t>
  </si>
  <si>
    <t xml:space="preserve">Harold Brown</t>
  </si>
  <si>
    <t xml:space="preserve">Caspar W. Weinberger</t>
  </si>
  <si>
    <t xml:space="preserve">RS0970001</t>
  </si>
  <si>
    <t xml:space="preserve">Frank C. Carlucci</t>
  </si>
  <si>
    <t xml:space="preserve">RS1000385</t>
  </si>
  <si>
    <t xml:space="preserve">John G. Tower</t>
  </si>
  <si>
    <t xml:space="preserve">Rejected</t>
  </si>
  <si>
    <t xml:space="preserve">The only one of these nominations the Senate rejected.</t>
  </si>
  <si>
    <t xml:space="preserve">Richard B. Cheney</t>
  </si>
  <si>
    <t xml:space="preserve">Les Aspin</t>
  </si>
  <si>
    <t xml:space="preserve">William J. Perry</t>
  </si>
  <si>
    <t xml:space="preserve">William S. Cohen</t>
  </si>
  <si>
    <t xml:space="preserve">Robert M. Gates</t>
  </si>
  <si>
    <t xml:space="preserve">Continued into the Obama administration without a new nomination.</t>
  </si>
  <si>
    <t xml:space="preserve">Leon E. Panetta</t>
  </si>
  <si>
    <t xml:space="preserve">Chuck Hagel</t>
  </si>
  <si>
    <t xml:space="preserve">Ashton B. Carter</t>
  </si>
  <si>
    <t xml:space="preserve">James N. Mattis</t>
  </si>
  <si>
    <t xml:space="preserve">RS1150029</t>
  </si>
  <si>
    <t xml:space="preserve">Also required a statutory waiver (recently retired officer).</t>
  </si>
  <si>
    <t xml:space="preserve">Patrick M. Shanahan</t>
  </si>
  <si>
    <t xml:space="preserve">Withdrawn</t>
  </si>
  <si>
    <t xml:space="preserve">Nomination withdrawn.</t>
  </si>
  <si>
    <t xml:space="preserve">Mark T. Esper</t>
  </si>
  <si>
    <t xml:space="preserve">Lloyd J. Austin III</t>
  </si>
  <si>
    <t xml:space="preserve">Pete Hegseth</t>
  </si>
  <si>
    <t xml:space="preserve">Yea</t>
  </si>
  <si>
    <t xml:space="preserve">Tied 50-50 among senators; Vice President Vance broke the tie. Senate.gov's cabinet table shows 51-50 (including the VP).</t>
  </si>
  <si>
    <t xml:space="preserve">Nominations</t>
  </si>
  <si>
    <t xml:space="preserve">Recorded Roll Calls</t>
  </si>
  <si>
    <t xml:space="preserve">Share with Roll Call</t>
  </si>
  <si>
    <t xml:space="preserve">Roll Calls with 10+ Nays</t>
  </si>
  <si>
    <t xml:space="preserve">Average Yea Share (roll calls)</t>
  </si>
  <si>
    <t xml:space="preserve">Total Nays Cast</t>
  </si>
  <si>
    <t xml:space="preserve">Coverage</t>
  </si>
  <si>
    <t xml:space="preserve">1900-2025</t>
  </si>
  <si>
    <t xml:space="preserve">1947-2025</t>
  </si>
  <si>
    <t xml:space="preserve">All</t>
  </si>
  <si>
    <t xml:space="preserve">Averages use the Yea Share column, which counts only yeas and nays. Hegseth's 50-50 tie is counted as 50%.</t>
  </si>
  <si>
    <t xml:space="preserve">Topic</t>
  </si>
  <si>
    <t xml:space="preserve">Note</t>
  </si>
  <si>
    <t xml:space="preserve">Scope</t>
  </si>
  <si>
    <t xml:space="preserve">One row per nomination that reached the Senate: Secretary of State and Secretary of the Treasury from 1900, Secretary of Defense from its creation in 1947. Officials who carried over from a previous administration without a new nomination (e.g., Brady 1989, Gates 2009) are not separate rows. John Hay (State, appointed 1898) and Lyman Gage (Treasury, appointed 1897) predate the window.</t>
  </si>
  <si>
    <t xml:space="preserve">For most nominations before the late 1970s the Senate confirmed without a recorded vote (voice vote or unanimous consent). For 1900-1976 these were identified by sweeping every Senate appointment and confirmation roll call in Voteview, Congress by Congress, not only by searching nominee names. Voteview misspells several names (STETINIUS, SCHULTZ), so name searches alone miss votes. Voteview includes pre-1929 executive-session roll calls, e.g., Kellogg's 1923 ambassadorship vote.</t>
  </si>
  <si>
    <t xml:space="preserve">Vote type, 1977-2025</t>
  </si>
  <si>
    <t xml:space="preserve">Taken from the Senate's cabinet-nomination tables for each administration (Carter through Trump, 2nd term), which distinguish roll call, voice vote and unanimous consent.</t>
  </si>
  <si>
    <t xml:space="preserve">Yeas / Nays</t>
  </si>
  <si>
    <t xml:space="preserve">1977 onward: Senate cabinet tables, which agree with Voteview in every case checked. Before 1977: Voteview roll-call records.</t>
  </si>
  <si>
    <t xml:space="preserve">Not Voting: 1989 onward</t>
  </si>
  <si>
    <t xml:space="preserve">Official counts from each Senate roll-call vote page (senate.gov LIS). These reflect vacancies. For example, Clinton and Geithner (Jan. 2009) were voted on with two seats empty.</t>
  </si>
  <si>
    <t xml:space="preserve">Not Voting: before 1989</t>
  </si>
  <si>
    <t xml:space="preserve">The Senate publishes no roll-call pages before 1989, so these come from Voteview's member-level vote codes: everyone seated who did not cast a yea or nay (paired, announced, absent). In every case except the 81st Congress, the codes sum to the seats filled on the vote date. The 81st Congress (Acheson 1949, Marshall 1950) is anomalous in Voteview: its code totals exceed 96 because members who served at any point in that Congress are included. For those two votes, Not Voting is computed as 96 - yeas - nays, which assumes no vacancies. Verify against the Congressional Record if exact figures matter.</t>
  </si>
  <si>
    <t xml:space="preserve">Recorded separately where it occurred: Kerry 2013 (voted present on his own nomination) and Muskie 1980.</t>
  </si>
  <si>
    <t xml:space="preserve">Hegseth (2025)</t>
  </si>
  <si>
    <t xml:space="preserve">The Senate divided 50-50 and Vice President Vance cast the tie-breaking vote. Yeas records senators only (50); VP Tie-Break = Yea. The Senate's cabinet table shows the result as 51-50.</t>
  </si>
  <si>
    <t xml:space="preserve">Session-specific roll call number as published by the Senate (1977 onward). Voteview ID is Voteview's rollcall identifier (RS + Congress + sequence), shown where Voteview was the source.</t>
  </si>
  <si>
    <t xml:space="preserve">Year / Senate Action Date</t>
  </si>
  <si>
    <t xml:space="preserve">Year is the year of appointment. Senate Action Date is given where it was verified from a Senate or Voteview record; it is left blank for early nominations confirmed without a roll call.</t>
  </si>
  <si>
    <t xml:space="preserve">Sources</t>
  </si>
  <si>
    <t xml:space="preserve">U.S. Senate, cabinet nomination tables (senate.gov/legislative/nominations/, Carter_cabinet.htm through Trump_47_cabinet.htm); U.S. Senate roll call vote pages (senate.gov/legislative/LIS/roll_call_votes/); Lewis, Jeffrey B., et al. Voteview: Congressional Roll-Call Votes Database (voteview.com); U.S. Treasury, Prior Secretaries (home.treasury.gov). Compiled September 2026.</t>
  </si>
</sst>
</file>

<file path=xl/styles.xml><?xml version="1.0" encoding="utf-8"?>
<styleSheet xmlns="http://schemas.openxmlformats.org/spreadsheetml/2006/main">
  <numFmts count="4">
    <numFmt numFmtId="164" formatCode="General"/>
    <numFmt numFmtId="165" formatCode="0"/>
    <numFmt numFmtId="166" formatCode="yyyy\-mm\-dd"/>
    <numFmt numFmtId="167" formatCode="0.0%"/>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6"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7"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7" fontId="5"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6"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ConfirmationVotes" displayName="ConfirmationVotes" ref="A1:S104" headerRowCount="1" totalsRowCount="0" totalsRowShown="0">
  <autoFilter ref="A1:S104"/>
  <tableColumns count="19">
    <tableColumn id="1" name="Department"/>
    <tableColumn id="2" name="Nominee"/>
    <tableColumn id="3" name="President"/>
    <tableColumn id="4" name="Year"/>
    <tableColumn id="5" name="Senate Action Date"/>
    <tableColumn id="6" name="Congress"/>
    <tableColumn id="7" name="Outcome"/>
    <tableColumn id="8" name="Vote Type"/>
    <tableColumn id="9" name="Yeas"/>
    <tableColumn id="10" name="Nays"/>
    <tableColumn id="11" name="Present"/>
    <tableColumn id="12" name="Not Voting"/>
    <tableColumn id="13" name="VP Tie-Break"/>
    <tableColumn id="14" name="Margin (Yeas - Nays)"/>
    <tableColumn id="15" name="Yea Share"/>
    <tableColumn id="16" name="Senate Roll Call No."/>
    <tableColumn id="17" name="Voteview ID"/>
    <tableColumn id="18" name="Not-Voting Source"/>
    <tableColumn id="19"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13"/>
    <col collapsed="false" customWidth="true" hidden="false" outlineLevel="0" max="4" min="4" style="0" width="7"/>
    <col collapsed="false" customWidth="true" hidden="false" outlineLevel="0" max="5" min="5" style="0" width="13"/>
    <col collapsed="false" customWidth="true" hidden="false" outlineLevel="0" max="6" min="6" style="0" width="9"/>
    <col collapsed="false" customWidth="true" hidden="false" outlineLevel="0" max="7" min="7" style="0" width="17"/>
    <col collapsed="false" customWidth="true" hidden="false" outlineLevel="0" max="8" min="8" style="0" width="20"/>
    <col collapsed="false" customWidth="true" hidden="false" outlineLevel="0" max="10" min="9" style="0" width="7"/>
    <col collapsed="false" customWidth="true" hidden="false" outlineLevel="0" max="11" min="11" style="0" width="8"/>
    <col collapsed="false" customWidth="true" hidden="false" outlineLevel="0" max="13" min="12" style="0" width="9"/>
    <col collapsed="false" customWidth="true" hidden="false" outlineLevel="0" max="14" min="14" style="0" width="10"/>
    <col collapsed="false" customWidth="true" hidden="false" outlineLevel="0" max="15" min="15" style="0" width="9"/>
    <col collapsed="false" customWidth="true" hidden="false" outlineLevel="0" max="16" min="16" style="0" width="10"/>
    <col collapsed="false" customWidth="true" hidden="false" outlineLevel="0" max="17" min="17" style="0" width="12"/>
    <col collapsed="false" customWidth="true" hidden="false" outlineLevel="0" max="18" min="18" style="0" width="34"/>
    <col collapsed="false" customWidth="true" hidden="false" outlineLevel="0" max="19" min="19" style="0" width="60"/>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15" hidden="false" customHeight="false" outlineLevel="0" collapsed="false">
      <c r="A2" s="2" t="s">
        <v>19</v>
      </c>
      <c r="B2" s="2" t="s">
        <v>20</v>
      </c>
      <c r="C2" s="2" t="s">
        <v>21</v>
      </c>
      <c r="D2" s="3" t="n">
        <v>1905</v>
      </c>
      <c r="E2" s="4"/>
      <c r="F2" s="5"/>
      <c r="G2" s="2" t="s">
        <v>22</v>
      </c>
      <c r="H2" s="2" t="s">
        <v>23</v>
      </c>
      <c r="I2" s="5"/>
      <c r="J2" s="5"/>
      <c r="K2" s="5"/>
      <c r="L2" s="5"/>
      <c r="M2" s="5"/>
      <c r="N2" s="5" t="str">
        <f aca="false">IF(I2="","",I2-J2)</f>
        <v/>
      </c>
      <c r="O2" s="6" t="str">
        <f aca="false">IF(I2="","",I2/(I2+J2))</f>
        <v/>
      </c>
      <c r="P2" s="5"/>
      <c r="Q2" s="2"/>
      <c r="R2" s="2"/>
      <c r="S2" s="7"/>
    </row>
    <row r="3" customFormat="false" ht="15" hidden="false" customHeight="false" outlineLevel="0" collapsed="false">
      <c r="A3" s="2" t="s">
        <v>19</v>
      </c>
      <c r="B3" s="2" t="s">
        <v>24</v>
      </c>
      <c r="C3" s="2" t="s">
        <v>21</v>
      </c>
      <c r="D3" s="3" t="n">
        <v>1909</v>
      </c>
      <c r="E3" s="4"/>
      <c r="F3" s="5"/>
      <c r="G3" s="2" t="s">
        <v>22</v>
      </c>
      <c r="H3" s="2" t="s">
        <v>23</v>
      </c>
      <c r="I3" s="5"/>
      <c r="J3" s="5"/>
      <c r="K3" s="5"/>
      <c r="L3" s="5"/>
      <c r="M3" s="5"/>
      <c r="N3" s="5" t="str">
        <f aca="false">IF(I3="","",I3-J3)</f>
        <v/>
      </c>
      <c r="O3" s="6" t="str">
        <f aca="false">IF(I3="","",I3/(I3+J3))</f>
        <v/>
      </c>
      <c r="P3" s="5"/>
      <c r="Q3" s="2"/>
      <c r="R3" s="2"/>
      <c r="S3" s="7"/>
    </row>
    <row r="4" customFormat="false" ht="15" hidden="false" customHeight="false" outlineLevel="0" collapsed="false">
      <c r="A4" s="2" t="s">
        <v>19</v>
      </c>
      <c r="B4" s="2" t="s">
        <v>25</v>
      </c>
      <c r="C4" s="2" t="s">
        <v>26</v>
      </c>
      <c r="D4" s="3" t="n">
        <v>1909</v>
      </c>
      <c r="E4" s="4"/>
      <c r="F4" s="5"/>
      <c r="G4" s="2" t="s">
        <v>22</v>
      </c>
      <c r="H4" s="2" t="s">
        <v>23</v>
      </c>
      <c r="I4" s="5"/>
      <c r="J4" s="5"/>
      <c r="K4" s="5"/>
      <c r="L4" s="5"/>
      <c r="M4" s="5"/>
      <c r="N4" s="5" t="str">
        <f aca="false">IF(I4="","",I4-J4)</f>
        <v/>
      </c>
      <c r="O4" s="6" t="str">
        <f aca="false">IF(I4="","",I4/(I4+J4))</f>
        <v/>
      </c>
      <c r="P4" s="5"/>
      <c r="Q4" s="2"/>
      <c r="R4" s="2"/>
      <c r="S4" s="7"/>
    </row>
    <row r="5" customFormat="false" ht="15" hidden="false" customHeight="false" outlineLevel="0" collapsed="false">
      <c r="A5" s="2" t="s">
        <v>19</v>
      </c>
      <c r="B5" s="2" t="s">
        <v>27</v>
      </c>
      <c r="C5" s="2" t="s">
        <v>28</v>
      </c>
      <c r="D5" s="3" t="n">
        <v>1913</v>
      </c>
      <c r="E5" s="4"/>
      <c r="F5" s="5"/>
      <c r="G5" s="2" t="s">
        <v>22</v>
      </c>
      <c r="H5" s="2" t="s">
        <v>23</v>
      </c>
      <c r="I5" s="5"/>
      <c r="J5" s="5"/>
      <c r="K5" s="5"/>
      <c r="L5" s="5"/>
      <c r="M5" s="5"/>
      <c r="N5" s="5" t="str">
        <f aca="false">IF(I5="","",I5-J5)</f>
        <v/>
      </c>
      <c r="O5" s="6" t="str">
        <f aca="false">IF(I5="","",I5/(I5+J5))</f>
        <v/>
      </c>
      <c r="P5" s="5"/>
      <c r="Q5" s="2"/>
      <c r="R5" s="2"/>
      <c r="S5" s="7"/>
    </row>
    <row r="6" customFormat="false" ht="15" hidden="false" customHeight="false" outlineLevel="0" collapsed="false">
      <c r="A6" s="2" t="s">
        <v>19</v>
      </c>
      <c r="B6" s="2" t="s">
        <v>29</v>
      </c>
      <c r="C6" s="2" t="s">
        <v>28</v>
      </c>
      <c r="D6" s="3" t="n">
        <v>1915</v>
      </c>
      <c r="E6" s="4"/>
      <c r="F6" s="5"/>
      <c r="G6" s="2" t="s">
        <v>22</v>
      </c>
      <c r="H6" s="2" t="s">
        <v>23</v>
      </c>
      <c r="I6" s="5"/>
      <c r="J6" s="5"/>
      <c r="K6" s="5"/>
      <c r="L6" s="5"/>
      <c r="M6" s="5"/>
      <c r="N6" s="5" t="str">
        <f aca="false">IF(I6="","",I6-J6)</f>
        <v/>
      </c>
      <c r="O6" s="6" t="str">
        <f aca="false">IF(I6="","",I6/(I6+J6))</f>
        <v/>
      </c>
      <c r="P6" s="5"/>
      <c r="Q6" s="2"/>
      <c r="R6" s="2"/>
      <c r="S6" s="7"/>
    </row>
    <row r="7" customFormat="false" ht="15" hidden="false" customHeight="false" outlineLevel="0" collapsed="false">
      <c r="A7" s="2" t="s">
        <v>19</v>
      </c>
      <c r="B7" s="2" t="s">
        <v>30</v>
      </c>
      <c r="C7" s="2" t="s">
        <v>28</v>
      </c>
      <c r="D7" s="3" t="n">
        <v>1920</v>
      </c>
      <c r="E7" s="4"/>
      <c r="F7" s="5"/>
      <c r="G7" s="2" t="s">
        <v>22</v>
      </c>
      <c r="H7" s="2" t="s">
        <v>23</v>
      </c>
      <c r="I7" s="5"/>
      <c r="J7" s="5"/>
      <c r="K7" s="5"/>
      <c r="L7" s="5"/>
      <c r="M7" s="5"/>
      <c r="N7" s="5" t="str">
        <f aca="false">IF(I7="","",I7-J7)</f>
        <v/>
      </c>
      <c r="O7" s="6" t="str">
        <f aca="false">IF(I7="","",I7/(I7+J7))</f>
        <v/>
      </c>
      <c r="P7" s="5"/>
      <c r="Q7" s="2"/>
      <c r="R7" s="2"/>
      <c r="S7" s="7"/>
    </row>
    <row r="8" customFormat="false" ht="15" hidden="false" customHeight="false" outlineLevel="0" collapsed="false">
      <c r="A8" s="2" t="s">
        <v>19</v>
      </c>
      <c r="B8" s="2" t="s">
        <v>31</v>
      </c>
      <c r="C8" s="2" t="s">
        <v>32</v>
      </c>
      <c r="D8" s="3" t="n">
        <v>1921</v>
      </c>
      <c r="E8" s="4"/>
      <c r="F8" s="5"/>
      <c r="G8" s="2" t="s">
        <v>22</v>
      </c>
      <c r="H8" s="2" t="s">
        <v>23</v>
      </c>
      <c r="I8" s="5"/>
      <c r="J8" s="5"/>
      <c r="K8" s="5"/>
      <c r="L8" s="5"/>
      <c r="M8" s="5"/>
      <c r="N8" s="5" t="str">
        <f aca="false">IF(I8="","",I8-J8)</f>
        <v/>
      </c>
      <c r="O8" s="6" t="str">
        <f aca="false">IF(I8="","",I8/(I8+J8))</f>
        <v/>
      </c>
      <c r="P8" s="5"/>
      <c r="Q8" s="2"/>
      <c r="R8" s="2"/>
      <c r="S8" s="7"/>
    </row>
    <row r="9" customFormat="false" ht="23.85" hidden="false" customHeight="false" outlineLevel="0" collapsed="false">
      <c r="A9" s="2" t="s">
        <v>19</v>
      </c>
      <c r="B9" s="2" t="s">
        <v>33</v>
      </c>
      <c r="C9" s="2" t="s">
        <v>34</v>
      </c>
      <c r="D9" s="3" t="n">
        <v>1925</v>
      </c>
      <c r="E9" s="4"/>
      <c r="F9" s="5"/>
      <c r="G9" s="2" t="s">
        <v>22</v>
      </c>
      <c r="H9" s="2" t="s">
        <v>23</v>
      </c>
      <c r="I9" s="5"/>
      <c r="J9" s="5"/>
      <c r="K9" s="5"/>
      <c r="L9" s="5"/>
      <c r="M9" s="5"/>
      <c r="N9" s="5" t="str">
        <f aca="false">IF(I9="","",I9-J9)</f>
        <v/>
      </c>
      <c r="O9" s="6" t="str">
        <f aca="false">IF(I9="","",I9/(I9+J9))</f>
        <v/>
      </c>
      <c r="P9" s="5"/>
      <c r="Q9" s="2"/>
      <c r="R9" s="2"/>
      <c r="S9" s="7" t="s">
        <v>35</v>
      </c>
    </row>
    <row r="10" customFormat="false" ht="15" hidden="false" customHeight="false" outlineLevel="0" collapsed="false">
      <c r="A10" s="2" t="s">
        <v>19</v>
      </c>
      <c r="B10" s="2" t="s">
        <v>36</v>
      </c>
      <c r="C10" s="2" t="s">
        <v>37</v>
      </c>
      <c r="D10" s="3" t="n">
        <v>1929</v>
      </c>
      <c r="E10" s="4"/>
      <c r="F10" s="5"/>
      <c r="G10" s="2" t="s">
        <v>22</v>
      </c>
      <c r="H10" s="2" t="s">
        <v>23</v>
      </c>
      <c r="I10" s="5"/>
      <c r="J10" s="5"/>
      <c r="K10" s="5"/>
      <c r="L10" s="5"/>
      <c r="M10" s="5"/>
      <c r="N10" s="5" t="str">
        <f aca="false">IF(I10="","",I10-J10)</f>
        <v/>
      </c>
      <c r="O10" s="6" t="str">
        <f aca="false">IF(I10="","",I10/(I10+J10))</f>
        <v/>
      </c>
      <c r="P10" s="5"/>
      <c r="Q10" s="2"/>
      <c r="R10" s="2"/>
      <c r="S10" s="7"/>
    </row>
    <row r="11" customFormat="false" ht="15" hidden="false" customHeight="false" outlineLevel="0" collapsed="false">
      <c r="A11" s="2" t="s">
        <v>19</v>
      </c>
      <c r="B11" s="2" t="s">
        <v>38</v>
      </c>
      <c r="C11" s="2" t="s">
        <v>39</v>
      </c>
      <c r="D11" s="3" t="n">
        <v>1933</v>
      </c>
      <c r="E11" s="4"/>
      <c r="F11" s="5"/>
      <c r="G11" s="2" t="s">
        <v>22</v>
      </c>
      <c r="H11" s="2" t="s">
        <v>23</v>
      </c>
      <c r="I11" s="5"/>
      <c r="J11" s="5"/>
      <c r="K11" s="5"/>
      <c r="L11" s="5"/>
      <c r="M11" s="5"/>
      <c r="N11" s="5" t="str">
        <f aca="false">IF(I11="","",I11-J11)</f>
        <v/>
      </c>
      <c r="O11" s="6" t="str">
        <f aca="false">IF(I11="","",I11/(I11+J11))</f>
        <v/>
      </c>
      <c r="P11" s="5"/>
      <c r="Q11" s="2"/>
      <c r="R11" s="2"/>
      <c r="S11" s="7"/>
    </row>
    <row r="12" customFormat="false" ht="23.85" hidden="false" customHeight="false" outlineLevel="0" collapsed="false">
      <c r="A12" s="2" t="s">
        <v>19</v>
      </c>
      <c r="B12" s="2" t="s">
        <v>40</v>
      </c>
      <c r="C12" s="2" t="s">
        <v>39</v>
      </c>
      <c r="D12" s="3" t="n">
        <v>1944</v>
      </c>
      <c r="E12" s="4" t="n">
        <v>16406</v>
      </c>
      <c r="F12" s="5" t="n">
        <v>78</v>
      </c>
      <c r="G12" s="2" t="s">
        <v>22</v>
      </c>
      <c r="H12" s="2" t="s">
        <v>41</v>
      </c>
      <c r="I12" s="5" t="n">
        <v>68</v>
      </c>
      <c r="J12" s="5" t="n">
        <v>1</v>
      </c>
      <c r="K12" s="5" t="n">
        <v>0</v>
      </c>
      <c r="L12" s="5" t="n">
        <v>26</v>
      </c>
      <c r="M12" s="5"/>
      <c r="N12" s="5" t="n">
        <f aca="false">IF(I12="","",I12-J12)</f>
        <v>67</v>
      </c>
      <c r="O12" s="6" t="n">
        <f aca="false">IF(I12="","",I12/(I12+J12))</f>
        <v>0.985507246376812</v>
      </c>
      <c r="P12" s="5"/>
      <c r="Q12" s="2" t="s">
        <v>42</v>
      </c>
      <c r="R12" s="2" t="s">
        <v>43</v>
      </c>
      <c r="S12" s="7" t="s">
        <v>44</v>
      </c>
    </row>
    <row r="13" customFormat="false" ht="15" hidden="false" customHeight="false" outlineLevel="0" collapsed="false">
      <c r="A13" s="2" t="s">
        <v>19</v>
      </c>
      <c r="B13" s="2" t="s">
        <v>45</v>
      </c>
      <c r="C13" s="2" t="s">
        <v>46</v>
      </c>
      <c r="D13" s="3" t="n">
        <v>1945</v>
      </c>
      <c r="E13" s="4"/>
      <c r="F13" s="5"/>
      <c r="G13" s="2" t="s">
        <v>22</v>
      </c>
      <c r="H13" s="2" t="s">
        <v>23</v>
      </c>
      <c r="I13" s="5"/>
      <c r="J13" s="5"/>
      <c r="K13" s="5"/>
      <c r="L13" s="5"/>
      <c r="M13" s="5"/>
      <c r="N13" s="5" t="str">
        <f aca="false">IF(I13="","",I13-J13)</f>
        <v/>
      </c>
      <c r="O13" s="6" t="str">
        <f aca="false">IF(I13="","",I13/(I13+J13))</f>
        <v/>
      </c>
      <c r="P13" s="5"/>
      <c r="Q13" s="2"/>
      <c r="R13" s="2"/>
      <c r="S13" s="7"/>
    </row>
    <row r="14" customFormat="false" ht="15" hidden="false" customHeight="false" outlineLevel="0" collapsed="false">
      <c r="A14" s="2" t="s">
        <v>19</v>
      </c>
      <c r="B14" s="2" t="s">
        <v>47</v>
      </c>
      <c r="C14" s="2" t="s">
        <v>46</v>
      </c>
      <c r="D14" s="3" t="n">
        <v>1947</v>
      </c>
      <c r="E14" s="4"/>
      <c r="F14" s="5"/>
      <c r="G14" s="2" t="s">
        <v>22</v>
      </c>
      <c r="H14" s="2" t="s">
        <v>23</v>
      </c>
      <c r="I14" s="5"/>
      <c r="J14" s="5"/>
      <c r="K14" s="5"/>
      <c r="L14" s="5"/>
      <c r="M14" s="5"/>
      <c r="N14" s="5" t="str">
        <f aca="false">IF(I14="","",I14-J14)</f>
        <v/>
      </c>
      <c r="O14" s="6" t="str">
        <f aca="false">IF(I14="","",I14/(I14+J14))</f>
        <v/>
      </c>
      <c r="P14" s="5"/>
      <c r="Q14" s="2"/>
      <c r="R14" s="2"/>
      <c r="S14" s="7"/>
    </row>
    <row r="15" customFormat="false" ht="15" hidden="false" customHeight="false" outlineLevel="0" collapsed="false">
      <c r="A15" s="2" t="s">
        <v>19</v>
      </c>
      <c r="B15" s="2" t="s">
        <v>48</v>
      </c>
      <c r="C15" s="2" t="s">
        <v>46</v>
      </c>
      <c r="D15" s="3" t="n">
        <v>1949</v>
      </c>
      <c r="E15" s="4" t="n">
        <v>17916</v>
      </c>
      <c r="F15" s="5" t="n">
        <v>81</v>
      </c>
      <c r="G15" s="2" t="s">
        <v>22</v>
      </c>
      <c r="H15" s="2" t="s">
        <v>41</v>
      </c>
      <c r="I15" s="5" t="n">
        <v>83</v>
      </c>
      <c r="J15" s="5" t="n">
        <v>6</v>
      </c>
      <c r="K15" s="5" t="n">
        <v>0</v>
      </c>
      <c r="L15" s="5" t="n">
        <v>7</v>
      </c>
      <c r="M15" s="5"/>
      <c r="N15" s="5" t="n">
        <f aca="false">IF(I15="","",I15-J15)</f>
        <v>77</v>
      </c>
      <c r="O15" s="6" t="n">
        <f aca="false">IF(I15="","",I15/(I15+J15))</f>
        <v>0.932584269662921</v>
      </c>
      <c r="P15" s="5"/>
      <c r="Q15" s="2" t="s">
        <v>49</v>
      </c>
      <c r="R15" s="2" t="s">
        <v>50</v>
      </c>
      <c r="S15" s="7"/>
    </row>
    <row r="16" customFormat="false" ht="15" hidden="false" customHeight="false" outlineLevel="0" collapsed="false">
      <c r="A16" s="2" t="s">
        <v>19</v>
      </c>
      <c r="B16" s="2" t="s">
        <v>51</v>
      </c>
      <c r="C16" s="2" t="s">
        <v>52</v>
      </c>
      <c r="D16" s="3" t="n">
        <v>1953</v>
      </c>
      <c r="E16" s="4"/>
      <c r="F16" s="5"/>
      <c r="G16" s="2" t="s">
        <v>22</v>
      </c>
      <c r="H16" s="2" t="s">
        <v>23</v>
      </c>
      <c r="I16" s="5"/>
      <c r="J16" s="5"/>
      <c r="K16" s="5"/>
      <c r="L16" s="5"/>
      <c r="M16" s="5"/>
      <c r="N16" s="5" t="str">
        <f aca="false">IF(I16="","",I16-J16)</f>
        <v/>
      </c>
      <c r="O16" s="6" t="str">
        <f aca="false">IF(I16="","",I16/(I16+J16))</f>
        <v/>
      </c>
      <c r="P16" s="5"/>
      <c r="Q16" s="2"/>
      <c r="R16" s="2"/>
      <c r="S16" s="7"/>
    </row>
    <row r="17" customFormat="false" ht="15" hidden="false" customHeight="false" outlineLevel="0" collapsed="false">
      <c r="A17" s="2" t="s">
        <v>19</v>
      </c>
      <c r="B17" s="2" t="s">
        <v>53</v>
      </c>
      <c r="C17" s="2" t="s">
        <v>52</v>
      </c>
      <c r="D17" s="3" t="n">
        <v>1959</v>
      </c>
      <c r="E17" s="4" t="n">
        <v>21661</v>
      </c>
      <c r="F17" s="5" t="n">
        <v>86</v>
      </c>
      <c r="G17" s="2" t="s">
        <v>22</v>
      </c>
      <c r="H17" s="2" t="s">
        <v>41</v>
      </c>
      <c r="I17" s="5" t="n">
        <v>93</v>
      </c>
      <c r="J17" s="5" t="n">
        <v>0</v>
      </c>
      <c r="K17" s="5" t="n">
        <v>0</v>
      </c>
      <c r="L17" s="5" t="n">
        <v>5</v>
      </c>
      <c r="M17" s="5"/>
      <c r="N17" s="5" t="n">
        <f aca="false">IF(I17="","",I17-J17)</f>
        <v>93</v>
      </c>
      <c r="O17" s="6" t="n">
        <f aca="false">IF(I17="","",I17/(I17+J17))</f>
        <v>1</v>
      </c>
      <c r="P17" s="5"/>
      <c r="Q17" s="2" t="s">
        <v>54</v>
      </c>
      <c r="R17" s="2" t="s">
        <v>43</v>
      </c>
      <c r="S17" s="7" t="s">
        <v>55</v>
      </c>
    </row>
    <row r="18" customFormat="false" ht="15" hidden="false" customHeight="false" outlineLevel="0" collapsed="false">
      <c r="A18" s="2" t="s">
        <v>19</v>
      </c>
      <c r="B18" s="2" t="s">
        <v>56</v>
      </c>
      <c r="C18" s="2" t="s">
        <v>57</v>
      </c>
      <c r="D18" s="3" t="n">
        <v>1961</v>
      </c>
      <c r="E18" s="4"/>
      <c r="F18" s="5"/>
      <c r="G18" s="2" t="s">
        <v>22</v>
      </c>
      <c r="H18" s="2" t="s">
        <v>23</v>
      </c>
      <c r="I18" s="5"/>
      <c r="J18" s="5"/>
      <c r="K18" s="5"/>
      <c r="L18" s="5"/>
      <c r="M18" s="5"/>
      <c r="N18" s="5" t="str">
        <f aca="false">IF(I18="","",I18-J18)</f>
        <v/>
      </c>
      <c r="O18" s="6" t="str">
        <f aca="false">IF(I18="","",I18/(I18+J18))</f>
        <v/>
      </c>
      <c r="P18" s="5"/>
      <c r="Q18" s="2"/>
      <c r="R18" s="2"/>
      <c r="S18" s="7"/>
    </row>
    <row r="19" customFormat="false" ht="15" hidden="false" customHeight="false" outlineLevel="0" collapsed="false">
      <c r="A19" s="2" t="s">
        <v>19</v>
      </c>
      <c r="B19" s="2" t="s">
        <v>58</v>
      </c>
      <c r="C19" s="2" t="s">
        <v>59</v>
      </c>
      <c r="D19" s="3" t="n">
        <v>1969</v>
      </c>
      <c r="E19" s="4"/>
      <c r="F19" s="5"/>
      <c r="G19" s="2" t="s">
        <v>22</v>
      </c>
      <c r="H19" s="2" t="s">
        <v>23</v>
      </c>
      <c r="I19" s="5"/>
      <c r="J19" s="5"/>
      <c r="K19" s="5"/>
      <c r="L19" s="5"/>
      <c r="M19" s="5"/>
      <c r="N19" s="5" t="str">
        <f aca="false">IF(I19="","",I19-J19)</f>
        <v/>
      </c>
      <c r="O19" s="6" t="str">
        <f aca="false">IF(I19="","",I19/(I19+J19))</f>
        <v/>
      </c>
      <c r="P19" s="5"/>
      <c r="Q19" s="2"/>
      <c r="R19" s="2"/>
      <c r="S19" s="7"/>
    </row>
    <row r="20" customFormat="false" ht="15" hidden="false" customHeight="false" outlineLevel="0" collapsed="false">
      <c r="A20" s="2" t="s">
        <v>19</v>
      </c>
      <c r="B20" s="2" t="s">
        <v>60</v>
      </c>
      <c r="C20" s="2" t="s">
        <v>59</v>
      </c>
      <c r="D20" s="3" t="n">
        <v>1973</v>
      </c>
      <c r="E20" s="4" t="n">
        <v>26928</v>
      </c>
      <c r="F20" s="5" t="n">
        <v>93</v>
      </c>
      <c r="G20" s="2" t="s">
        <v>22</v>
      </c>
      <c r="H20" s="2" t="s">
        <v>41</v>
      </c>
      <c r="I20" s="5" t="n">
        <v>78</v>
      </c>
      <c r="J20" s="5" t="n">
        <v>7</v>
      </c>
      <c r="K20" s="5" t="n">
        <v>0</v>
      </c>
      <c r="L20" s="5" t="n">
        <v>15</v>
      </c>
      <c r="M20" s="5"/>
      <c r="N20" s="5" t="n">
        <f aca="false">IF(I20="","",I20-J20)</f>
        <v>71</v>
      </c>
      <c r="O20" s="6" t="n">
        <f aca="false">IF(I20="","",I20/(I20+J20))</f>
        <v>0.917647058823529</v>
      </c>
      <c r="P20" s="5"/>
      <c r="Q20" s="2" t="s">
        <v>61</v>
      </c>
      <c r="R20" s="2" t="s">
        <v>43</v>
      </c>
      <c r="S20" s="7"/>
    </row>
    <row r="21" customFormat="false" ht="15" hidden="false" customHeight="false" outlineLevel="0" collapsed="false">
      <c r="A21" s="2" t="s">
        <v>19</v>
      </c>
      <c r="B21" s="2" t="s">
        <v>62</v>
      </c>
      <c r="C21" s="2" t="s">
        <v>63</v>
      </c>
      <c r="D21" s="3" t="n">
        <v>1977</v>
      </c>
      <c r="E21" s="4" t="n">
        <v>28145</v>
      </c>
      <c r="F21" s="5" t="n">
        <v>95</v>
      </c>
      <c r="G21" s="2" t="s">
        <v>22</v>
      </c>
      <c r="H21" s="2" t="s">
        <v>64</v>
      </c>
      <c r="I21" s="5"/>
      <c r="J21" s="5"/>
      <c r="K21" s="5"/>
      <c r="L21" s="5"/>
      <c r="M21" s="5"/>
      <c r="N21" s="5" t="str">
        <f aca="false">IF(I21="","",I21-J21)</f>
        <v/>
      </c>
      <c r="O21" s="6" t="str">
        <f aca="false">IF(I21="","",I21/(I21+J21))</f>
        <v/>
      </c>
      <c r="P21" s="5"/>
      <c r="Q21" s="2"/>
      <c r="R21" s="2"/>
      <c r="S21" s="7"/>
    </row>
    <row r="22" customFormat="false" ht="15" hidden="false" customHeight="false" outlineLevel="0" collapsed="false">
      <c r="A22" s="2" t="s">
        <v>19</v>
      </c>
      <c r="B22" s="2" t="s">
        <v>65</v>
      </c>
      <c r="C22" s="2" t="s">
        <v>63</v>
      </c>
      <c r="D22" s="3" t="n">
        <v>1980</v>
      </c>
      <c r="E22" s="4" t="n">
        <v>29348</v>
      </c>
      <c r="F22" s="5" t="n">
        <v>96</v>
      </c>
      <c r="G22" s="2" t="s">
        <v>22</v>
      </c>
      <c r="H22" s="2" t="s">
        <v>41</v>
      </c>
      <c r="I22" s="5" t="n">
        <v>94</v>
      </c>
      <c r="J22" s="5" t="n">
        <v>2</v>
      </c>
      <c r="K22" s="5" t="n">
        <v>1</v>
      </c>
      <c r="L22" s="5" t="n">
        <v>3</v>
      </c>
      <c r="M22" s="5"/>
      <c r="N22" s="5" t="n">
        <f aca="false">IF(I22="","",I22-J22)</f>
        <v>92</v>
      </c>
      <c r="O22" s="6" t="n">
        <f aca="false">IF(I22="","",I22/(I22+J22))</f>
        <v>0.979166666666667</v>
      </c>
      <c r="P22" s="5" t="n">
        <v>102</v>
      </c>
      <c r="Q22" s="2" t="s">
        <v>66</v>
      </c>
      <c r="R22" s="2" t="s">
        <v>43</v>
      </c>
      <c r="S22" s="7" t="s">
        <v>67</v>
      </c>
    </row>
    <row r="23" customFormat="false" ht="15" hidden="false" customHeight="false" outlineLevel="0" collapsed="false">
      <c r="A23" s="2" t="s">
        <v>19</v>
      </c>
      <c r="B23" s="2" t="s">
        <v>68</v>
      </c>
      <c r="C23" s="2" t="s">
        <v>69</v>
      </c>
      <c r="D23" s="3" t="n">
        <v>1981</v>
      </c>
      <c r="E23" s="4" t="n">
        <v>29607</v>
      </c>
      <c r="F23" s="5" t="n">
        <v>97</v>
      </c>
      <c r="G23" s="2" t="s">
        <v>22</v>
      </c>
      <c r="H23" s="2" t="s">
        <v>41</v>
      </c>
      <c r="I23" s="5" t="n">
        <v>93</v>
      </c>
      <c r="J23" s="5" t="n">
        <v>6</v>
      </c>
      <c r="K23" s="5" t="n">
        <v>0</v>
      </c>
      <c r="L23" s="5" t="n">
        <v>1</v>
      </c>
      <c r="M23" s="5"/>
      <c r="N23" s="5" t="n">
        <f aca="false">IF(I23="","",I23-J23)</f>
        <v>87</v>
      </c>
      <c r="O23" s="6" t="n">
        <f aca="false">IF(I23="","",I23/(I23+J23))</f>
        <v>0.939393939393939</v>
      </c>
      <c r="P23" s="5" t="n">
        <v>3</v>
      </c>
      <c r="Q23" s="2" t="s">
        <v>70</v>
      </c>
      <c r="R23" s="2" t="s">
        <v>43</v>
      </c>
      <c r="S23" s="7"/>
    </row>
    <row r="24" customFormat="false" ht="15" hidden="false" customHeight="false" outlineLevel="0" collapsed="false">
      <c r="A24" s="2" t="s">
        <v>19</v>
      </c>
      <c r="B24" s="2" t="s">
        <v>71</v>
      </c>
      <c r="C24" s="2" t="s">
        <v>69</v>
      </c>
      <c r="D24" s="3" t="n">
        <v>1982</v>
      </c>
      <c r="E24" s="4" t="n">
        <v>30147</v>
      </c>
      <c r="F24" s="5" t="n">
        <v>97</v>
      </c>
      <c r="G24" s="2" t="s">
        <v>22</v>
      </c>
      <c r="H24" s="2" t="s">
        <v>41</v>
      </c>
      <c r="I24" s="5" t="n">
        <v>97</v>
      </c>
      <c r="J24" s="5" t="n">
        <v>0</v>
      </c>
      <c r="K24" s="5" t="n">
        <v>0</v>
      </c>
      <c r="L24" s="5" t="n">
        <v>3</v>
      </c>
      <c r="M24" s="5"/>
      <c r="N24" s="5" t="n">
        <f aca="false">IF(I24="","",I24-J24)</f>
        <v>97</v>
      </c>
      <c r="O24" s="6" t="n">
        <f aca="false">IF(I24="","",I24/(I24+J24))</f>
        <v>1</v>
      </c>
      <c r="P24" s="5" t="n">
        <v>216</v>
      </c>
      <c r="Q24" s="2" t="s">
        <v>72</v>
      </c>
      <c r="R24" s="2" t="s">
        <v>43</v>
      </c>
      <c r="S24" s="7" t="s">
        <v>73</v>
      </c>
    </row>
    <row r="25" customFormat="false" ht="15" hidden="false" customHeight="false" outlineLevel="0" collapsed="false">
      <c r="A25" s="2" t="s">
        <v>19</v>
      </c>
      <c r="B25" s="2" t="s">
        <v>74</v>
      </c>
      <c r="C25" s="2" t="s">
        <v>75</v>
      </c>
      <c r="D25" s="3" t="n">
        <v>1989</v>
      </c>
      <c r="E25" s="4" t="n">
        <v>32533</v>
      </c>
      <c r="F25" s="5" t="n">
        <v>101</v>
      </c>
      <c r="G25" s="2" t="s">
        <v>22</v>
      </c>
      <c r="H25" s="2" t="s">
        <v>41</v>
      </c>
      <c r="I25" s="5" t="n">
        <v>99</v>
      </c>
      <c r="J25" s="5" t="n">
        <v>0</v>
      </c>
      <c r="K25" s="5" t="n">
        <v>0</v>
      </c>
      <c r="L25" s="5" t="n">
        <v>1</v>
      </c>
      <c r="M25" s="5"/>
      <c r="N25" s="5" t="n">
        <f aca="false">IF(I25="","",I25-J25)</f>
        <v>99</v>
      </c>
      <c r="O25" s="6" t="n">
        <f aca="false">IF(I25="","",I25/(I25+J25))</f>
        <v>1</v>
      </c>
      <c r="P25" s="5" t="n">
        <v>1</v>
      </c>
      <c r="Q25" s="2"/>
      <c r="R25" s="2" t="s">
        <v>76</v>
      </c>
      <c r="S25" s="7"/>
    </row>
    <row r="26" customFormat="false" ht="23.85" hidden="false" customHeight="false" outlineLevel="0" collapsed="false">
      <c r="A26" s="2" t="s">
        <v>19</v>
      </c>
      <c r="B26" s="2" t="s">
        <v>77</v>
      </c>
      <c r="C26" s="2" t="s">
        <v>75</v>
      </c>
      <c r="D26" s="3" t="n">
        <v>1992</v>
      </c>
      <c r="E26" s="4"/>
      <c r="F26" s="5"/>
      <c r="G26" s="2" t="s">
        <v>78</v>
      </c>
      <c r="H26" s="2" t="s">
        <v>79</v>
      </c>
      <c r="I26" s="5"/>
      <c r="J26" s="5"/>
      <c r="K26" s="5"/>
      <c r="L26" s="5"/>
      <c r="M26" s="5"/>
      <c r="N26" s="5" t="str">
        <f aca="false">IF(I26="","",I26-J26)</f>
        <v/>
      </c>
      <c r="O26" s="6" t="str">
        <f aca="false">IF(I26="","",I26/(I26+J26))</f>
        <v/>
      </c>
      <c r="P26" s="5"/>
      <c r="Q26" s="2"/>
      <c r="R26" s="2"/>
      <c r="S26" s="7" t="s">
        <v>80</v>
      </c>
    </row>
    <row r="27" customFormat="false" ht="15" hidden="false" customHeight="false" outlineLevel="0" collapsed="false">
      <c r="A27" s="2" t="s">
        <v>19</v>
      </c>
      <c r="B27" s="2" t="s">
        <v>81</v>
      </c>
      <c r="C27" s="2" t="s">
        <v>82</v>
      </c>
      <c r="D27" s="3" t="n">
        <v>1993</v>
      </c>
      <c r="E27" s="4" t="n">
        <v>33989</v>
      </c>
      <c r="F27" s="5" t="n">
        <v>103</v>
      </c>
      <c r="G27" s="2" t="s">
        <v>22</v>
      </c>
      <c r="H27" s="2" t="s">
        <v>64</v>
      </c>
      <c r="I27" s="5"/>
      <c r="J27" s="5"/>
      <c r="K27" s="5"/>
      <c r="L27" s="5"/>
      <c r="M27" s="5"/>
      <c r="N27" s="5" t="str">
        <f aca="false">IF(I27="","",I27-J27)</f>
        <v/>
      </c>
      <c r="O27" s="6" t="str">
        <f aca="false">IF(I27="","",I27/(I27+J27))</f>
        <v/>
      </c>
      <c r="P27" s="5"/>
      <c r="Q27" s="2"/>
      <c r="R27" s="2"/>
      <c r="S27" s="7"/>
    </row>
    <row r="28" customFormat="false" ht="15" hidden="false" customHeight="false" outlineLevel="0" collapsed="false">
      <c r="A28" s="2" t="s">
        <v>19</v>
      </c>
      <c r="B28" s="2" t="s">
        <v>83</v>
      </c>
      <c r="C28" s="2" t="s">
        <v>82</v>
      </c>
      <c r="D28" s="3" t="n">
        <v>1997</v>
      </c>
      <c r="E28" s="4" t="n">
        <v>35452</v>
      </c>
      <c r="F28" s="5" t="n">
        <v>105</v>
      </c>
      <c r="G28" s="2" t="s">
        <v>22</v>
      </c>
      <c r="H28" s="2" t="s">
        <v>41</v>
      </c>
      <c r="I28" s="5" t="n">
        <v>99</v>
      </c>
      <c r="J28" s="5" t="n">
        <v>0</v>
      </c>
      <c r="K28" s="5" t="n">
        <v>0</v>
      </c>
      <c r="L28" s="5" t="n">
        <v>1</v>
      </c>
      <c r="M28" s="5"/>
      <c r="N28" s="5" t="n">
        <f aca="false">IF(I28="","",I28-J28)</f>
        <v>99</v>
      </c>
      <c r="O28" s="6" t="n">
        <f aca="false">IF(I28="","",I28/(I28+J28))</f>
        <v>1</v>
      </c>
      <c r="P28" s="5" t="n">
        <v>1</v>
      </c>
      <c r="Q28" s="2"/>
      <c r="R28" s="2" t="s">
        <v>76</v>
      </c>
      <c r="S28" s="7"/>
    </row>
    <row r="29" customFormat="false" ht="15" hidden="false" customHeight="false" outlineLevel="0" collapsed="false">
      <c r="A29" s="2" t="s">
        <v>19</v>
      </c>
      <c r="B29" s="2" t="s">
        <v>84</v>
      </c>
      <c r="C29" s="2" t="s">
        <v>85</v>
      </c>
      <c r="D29" s="3" t="n">
        <v>2001</v>
      </c>
      <c r="E29" s="4" t="n">
        <v>36911</v>
      </c>
      <c r="F29" s="5" t="n">
        <v>107</v>
      </c>
      <c r="G29" s="2" t="s">
        <v>22</v>
      </c>
      <c r="H29" s="2" t="s">
        <v>64</v>
      </c>
      <c r="I29" s="5"/>
      <c r="J29" s="5"/>
      <c r="K29" s="5"/>
      <c r="L29" s="5"/>
      <c r="M29" s="5"/>
      <c r="N29" s="5" t="str">
        <f aca="false">IF(I29="","",I29-J29)</f>
        <v/>
      </c>
      <c r="O29" s="6" t="str">
        <f aca="false">IF(I29="","",I29/(I29+J29))</f>
        <v/>
      </c>
      <c r="P29" s="5"/>
      <c r="Q29" s="2"/>
      <c r="R29" s="2"/>
      <c r="S29" s="7"/>
    </row>
    <row r="30" customFormat="false" ht="15" hidden="false" customHeight="false" outlineLevel="0" collapsed="false">
      <c r="A30" s="2" t="s">
        <v>19</v>
      </c>
      <c r="B30" s="2" t="s">
        <v>86</v>
      </c>
      <c r="C30" s="2" t="s">
        <v>85</v>
      </c>
      <c r="D30" s="3" t="n">
        <v>2005</v>
      </c>
      <c r="E30" s="4" t="n">
        <v>38378</v>
      </c>
      <c r="F30" s="5" t="n">
        <v>109</v>
      </c>
      <c r="G30" s="2" t="s">
        <v>22</v>
      </c>
      <c r="H30" s="2" t="s">
        <v>41</v>
      </c>
      <c r="I30" s="5" t="n">
        <v>85</v>
      </c>
      <c r="J30" s="5" t="n">
        <v>13</v>
      </c>
      <c r="K30" s="5" t="n">
        <v>0</v>
      </c>
      <c r="L30" s="5" t="n">
        <v>2</v>
      </c>
      <c r="M30" s="5"/>
      <c r="N30" s="5" t="n">
        <f aca="false">IF(I30="","",I30-J30)</f>
        <v>72</v>
      </c>
      <c r="O30" s="6" t="n">
        <f aca="false">IF(I30="","",I30/(I30+J30))</f>
        <v>0.86734693877551</v>
      </c>
      <c r="P30" s="5" t="n">
        <v>2</v>
      </c>
      <c r="Q30" s="2"/>
      <c r="R30" s="2" t="s">
        <v>76</v>
      </c>
      <c r="S30" s="7"/>
    </row>
    <row r="31" customFormat="false" ht="15" hidden="false" customHeight="false" outlineLevel="0" collapsed="false">
      <c r="A31" s="2" t="s">
        <v>19</v>
      </c>
      <c r="B31" s="2" t="s">
        <v>87</v>
      </c>
      <c r="C31" s="2" t="s">
        <v>88</v>
      </c>
      <c r="D31" s="3" t="n">
        <v>2009</v>
      </c>
      <c r="E31" s="4" t="n">
        <v>39834</v>
      </c>
      <c r="F31" s="5" t="n">
        <v>111</v>
      </c>
      <c r="G31" s="2" t="s">
        <v>22</v>
      </c>
      <c r="H31" s="2" t="s">
        <v>41</v>
      </c>
      <c r="I31" s="5" t="n">
        <v>94</v>
      </c>
      <c r="J31" s="5" t="n">
        <v>2</v>
      </c>
      <c r="K31" s="5" t="n">
        <v>0</v>
      </c>
      <c r="L31" s="5" t="n">
        <v>2</v>
      </c>
      <c r="M31" s="5"/>
      <c r="N31" s="5" t="n">
        <f aca="false">IF(I31="","",I31-J31)</f>
        <v>92</v>
      </c>
      <c r="O31" s="6" t="n">
        <f aca="false">IF(I31="","",I31/(I31+J31))</f>
        <v>0.979166666666667</v>
      </c>
      <c r="P31" s="5" t="n">
        <v>6</v>
      </c>
      <c r="Q31" s="2"/>
      <c r="R31" s="2" t="s">
        <v>76</v>
      </c>
      <c r="S31" s="7" t="s">
        <v>89</v>
      </c>
    </row>
    <row r="32" customFormat="false" ht="15" hidden="false" customHeight="false" outlineLevel="0" collapsed="false">
      <c r="A32" s="2" t="s">
        <v>19</v>
      </c>
      <c r="B32" s="2" t="s">
        <v>90</v>
      </c>
      <c r="C32" s="2" t="s">
        <v>88</v>
      </c>
      <c r="D32" s="3" t="n">
        <v>2013</v>
      </c>
      <c r="E32" s="4" t="n">
        <v>41303</v>
      </c>
      <c r="F32" s="5" t="n">
        <v>113</v>
      </c>
      <c r="G32" s="2" t="s">
        <v>22</v>
      </c>
      <c r="H32" s="2" t="s">
        <v>41</v>
      </c>
      <c r="I32" s="5" t="n">
        <v>94</v>
      </c>
      <c r="J32" s="5" t="n">
        <v>3</v>
      </c>
      <c r="K32" s="5" t="n">
        <v>1</v>
      </c>
      <c r="L32" s="5" t="n">
        <v>2</v>
      </c>
      <c r="M32" s="5"/>
      <c r="N32" s="5" t="n">
        <f aca="false">IF(I32="","",I32-J32)</f>
        <v>91</v>
      </c>
      <c r="O32" s="6" t="n">
        <f aca="false">IF(I32="","",I32/(I32+J32))</f>
        <v>0.969072164948454</v>
      </c>
      <c r="P32" s="5" t="n">
        <v>5</v>
      </c>
      <c r="Q32" s="2"/>
      <c r="R32" s="2" t="s">
        <v>76</v>
      </c>
      <c r="S32" s="7" t="s">
        <v>91</v>
      </c>
    </row>
    <row r="33" customFormat="false" ht="15" hidden="false" customHeight="false" outlineLevel="0" collapsed="false">
      <c r="A33" s="2" t="s">
        <v>19</v>
      </c>
      <c r="B33" s="2" t="s">
        <v>92</v>
      </c>
      <c r="C33" s="2" t="s">
        <v>93</v>
      </c>
      <c r="D33" s="3" t="n">
        <v>2017</v>
      </c>
      <c r="E33" s="4" t="n">
        <v>42767</v>
      </c>
      <c r="F33" s="5" t="n">
        <v>115</v>
      </c>
      <c r="G33" s="2" t="s">
        <v>22</v>
      </c>
      <c r="H33" s="2" t="s">
        <v>41</v>
      </c>
      <c r="I33" s="5" t="n">
        <v>56</v>
      </c>
      <c r="J33" s="5" t="n">
        <v>43</v>
      </c>
      <c r="K33" s="5" t="n">
        <v>0</v>
      </c>
      <c r="L33" s="5" t="n">
        <v>1</v>
      </c>
      <c r="M33" s="5"/>
      <c r="N33" s="5" t="n">
        <f aca="false">IF(I33="","",I33-J33)</f>
        <v>13</v>
      </c>
      <c r="O33" s="6" t="n">
        <f aca="false">IF(I33="","",I33/(I33+J33))</f>
        <v>0.565656565656566</v>
      </c>
      <c r="P33" s="5" t="n">
        <v>36</v>
      </c>
      <c r="Q33" s="2"/>
      <c r="R33" s="2" t="s">
        <v>76</v>
      </c>
      <c r="S33" s="7"/>
    </row>
    <row r="34" customFormat="false" ht="15" hidden="false" customHeight="false" outlineLevel="0" collapsed="false">
      <c r="A34" s="2" t="s">
        <v>19</v>
      </c>
      <c r="B34" s="2" t="s">
        <v>94</v>
      </c>
      <c r="C34" s="2" t="s">
        <v>93</v>
      </c>
      <c r="D34" s="3" t="n">
        <v>2018</v>
      </c>
      <c r="E34" s="4" t="n">
        <v>43216</v>
      </c>
      <c r="F34" s="5" t="n">
        <v>115</v>
      </c>
      <c r="G34" s="2" t="s">
        <v>22</v>
      </c>
      <c r="H34" s="2" t="s">
        <v>41</v>
      </c>
      <c r="I34" s="5" t="n">
        <v>57</v>
      </c>
      <c r="J34" s="5" t="n">
        <v>42</v>
      </c>
      <c r="K34" s="5" t="n">
        <v>0</v>
      </c>
      <c r="L34" s="5" t="n">
        <v>1</v>
      </c>
      <c r="M34" s="5"/>
      <c r="N34" s="5" t="n">
        <f aca="false">IF(I34="","",I34-J34)</f>
        <v>15</v>
      </c>
      <c r="O34" s="6" t="n">
        <f aca="false">IF(I34="","",I34/(I34+J34))</f>
        <v>0.575757575757576</v>
      </c>
      <c r="P34" s="5" t="n">
        <v>84</v>
      </c>
      <c r="Q34" s="2"/>
      <c r="R34" s="2" t="s">
        <v>76</v>
      </c>
      <c r="S34" s="7"/>
    </row>
    <row r="35" customFormat="false" ht="15" hidden="false" customHeight="false" outlineLevel="0" collapsed="false">
      <c r="A35" s="2" t="s">
        <v>19</v>
      </c>
      <c r="B35" s="2" t="s">
        <v>95</v>
      </c>
      <c r="C35" s="2" t="s">
        <v>96</v>
      </c>
      <c r="D35" s="3" t="n">
        <v>2021</v>
      </c>
      <c r="E35" s="4" t="n">
        <v>44222</v>
      </c>
      <c r="F35" s="5" t="n">
        <v>117</v>
      </c>
      <c r="G35" s="2" t="s">
        <v>22</v>
      </c>
      <c r="H35" s="2" t="s">
        <v>41</v>
      </c>
      <c r="I35" s="5" t="n">
        <v>78</v>
      </c>
      <c r="J35" s="5" t="n">
        <v>22</v>
      </c>
      <c r="K35" s="5" t="n">
        <v>0</v>
      </c>
      <c r="L35" s="5" t="n">
        <v>0</v>
      </c>
      <c r="M35" s="5"/>
      <c r="N35" s="5" t="n">
        <f aca="false">IF(I35="","",I35-J35)</f>
        <v>56</v>
      </c>
      <c r="O35" s="6" t="n">
        <f aca="false">IF(I35="","",I35/(I35+J35))</f>
        <v>0.78</v>
      </c>
      <c r="P35" s="5" t="n">
        <v>7</v>
      </c>
      <c r="Q35" s="2"/>
      <c r="R35" s="2" t="s">
        <v>76</v>
      </c>
      <c r="S35" s="7"/>
    </row>
    <row r="36" customFormat="false" ht="15" hidden="false" customHeight="false" outlineLevel="0" collapsed="false">
      <c r="A36" s="2" t="s">
        <v>19</v>
      </c>
      <c r="B36" s="2" t="s">
        <v>97</v>
      </c>
      <c r="C36" s="2" t="s">
        <v>93</v>
      </c>
      <c r="D36" s="3" t="n">
        <v>2025</v>
      </c>
      <c r="E36" s="4" t="n">
        <v>45677</v>
      </c>
      <c r="F36" s="5" t="n">
        <v>119</v>
      </c>
      <c r="G36" s="2" t="s">
        <v>22</v>
      </c>
      <c r="H36" s="2" t="s">
        <v>41</v>
      </c>
      <c r="I36" s="5" t="n">
        <v>99</v>
      </c>
      <c r="J36" s="5" t="n">
        <v>0</v>
      </c>
      <c r="K36" s="5" t="n">
        <v>0</v>
      </c>
      <c r="L36" s="5" t="n">
        <v>0</v>
      </c>
      <c r="M36" s="5"/>
      <c r="N36" s="5" t="n">
        <f aca="false">IF(I36="","",I36-J36)</f>
        <v>99</v>
      </c>
      <c r="O36" s="6" t="n">
        <f aca="false">IF(I36="","",I36/(I36+J36))</f>
        <v>1</v>
      </c>
      <c r="P36" s="5" t="n">
        <v>8</v>
      </c>
      <c r="Q36" s="2"/>
      <c r="R36" s="2" t="s">
        <v>76</v>
      </c>
      <c r="S36" s="7" t="s">
        <v>98</v>
      </c>
    </row>
    <row r="37" customFormat="false" ht="15" hidden="false" customHeight="false" outlineLevel="0" collapsed="false">
      <c r="A37" s="2" t="s">
        <v>99</v>
      </c>
      <c r="B37" s="2" t="s">
        <v>100</v>
      </c>
      <c r="C37" s="2" t="s">
        <v>21</v>
      </c>
      <c r="D37" s="3" t="n">
        <v>1902</v>
      </c>
      <c r="E37" s="4"/>
      <c r="F37" s="5"/>
      <c r="G37" s="2" t="s">
        <v>22</v>
      </c>
      <c r="H37" s="2" t="s">
        <v>23</v>
      </c>
      <c r="I37" s="5"/>
      <c r="J37" s="5"/>
      <c r="K37" s="5"/>
      <c r="L37" s="5"/>
      <c r="M37" s="5"/>
      <c r="N37" s="5" t="str">
        <f aca="false">IF(I37="","",I37-J37)</f>
        <v/>
      </c>
      <c r="O37" s="6" t="str">
        <f aca="false">IF(I37="","",I37/(I37+J37))</f>
        <v/>
      </c>
      <c r="P37" s="5"/>
      <c r="Q37" s="2"/>
      <c r="R37" s="2"/>
      <c r="S37" s="7"/>
    </row>
    <row r="38" customFormat="false" ht="15" hidden="false" customHeight="false" outlineLevel="0" collapsed="false">
      <c r="A38" s="2" t="s">
        <v>99</v>
      </c>
      <c r="B38" s="2" t="s">
        <v>101</v>
      </c>
      <c r="C38" s="2" t="s">
        <v>21</v>
      </c>
      <c r="D38" s="3" t="n">
        <v>1907</v>
      </c>
      <c r="E38" s="4"/>
      <c r="F38" s="5"/>
      <c r="G38" s="2" t="s">
        <v>22</v>
      </c>
      <c r="H38" s="2" t="s">
        <v>23</v>
      </c>
      <c r="I38" s="5"/>
      <c r="J38" s="5"/>
      <c r="K38" s="5"/>
      <c r="L38" s="5"/>
      <c r="M38" s="5"/>
      <c r="N38" s="5" t="str">
        <f aca="false">IF(I38="","",I38-J38)</f>
        <v/>
      </c>
      <c r="O38" s="6" t="str">
        <f aca="false">IF(I38="","",I38/(I38+J38))</f>
        <v/>
      </c>
      <c r="P38" s="5"/>
      <c r="Q38" s="2"/>
      <c r="R38" s="2"/>
      <c r="S38" s="7"/>
    </row>
    <row r="39" customFormat="false" ht="15" hidden="false" customHeight="false" outlineLevel="0" collapsed="false">
      <c r="A39" s="2" t="s">
        <v>99</v>
      </c>
      <c r="B39" s="2" t="s">
        <v>102</v>
      </c>
      <c r="C39" s="2" t="s">
        <v>26</v>
      </c>
      <c r="D39" s="3" t="n">
        <v>1909</v>
      </c>
      <c r="E39" s="4"/>
      <c r="F39" s="5"/>
      <c r="G39" s="2" t="s">
        <v>22</v>
      </c>
      <c r="H39" s="2" t="s">
        <v>23</v>
      </c>
      <c r="I39" s="5"/>
      <c r="J39" s="5"/>
      <c r="K39" s="5"/>
      <c r="L39" s="5"/>
      <c r="M39" s="5"/>
      <c r="N39" s="5" t="str">
        <f aca="false">IF(I39="","",I39-J39)</f>
        <v/>
      </c>
      <c r="O39" s="6" t="str">
        <f aca="false">IF(I39="","",I39/(I39+J39))</f>
        <v/>
      </c>
      <c r="P39" s="5"/>
      <c r="Q39" s="2"/>
      <c r="R39" s="2"/>
      <c r="S39" s="7"/>
    </row>
    <row r="40" customFormat="false" ht="15" hidden="false" customHeight="false" outlineLevel="0" collapsed="false">
      <c r="A40" s="2" t="s">
        <v>99</v>
      </c>
      <c r="B40" s="2" t="s">
        <v>103</v>
      </c>
      <c r="C40" s="2" t="s">
        <v>28</v>
      </c>
      <c r="D40" s="3" t="n">
        <v>1913</v>
      </c>
      <c r="E40" s="4"/>
      <c r="F40" s="5"/>
      <c r="G40" s="2" t="s">
        <v>22</v>
      </c>
      <c r="H40" s="2" t="s">
        <v>23</v>
      </c>
      <c r="I40" s="5"/>
      <c r="J40" s="5"/>
      <c r="K40" s="5"/>
      <c r="L40" s="5"/>
      <c r="M40" s="5"/>
      <c r="N40" s="5" t="str">
        <f aca="false">IF(I40="","",I40-J40)</f>
        <v/>
      </c>
      <c r="O40" s="6" t="str">
        <f aca="false">IF(I40="","",I40/(I40+J40))</f>
        <v/>
      </c>
      <c r="P40" s="5"/>
      <c r="Q40" s="2"/>
      <c r="R40" s="2"/>
      <c r="S40" s="7"/>
    </row>
    <row r="41" customFormat="false" ht="15" hidden="false" customHeight="false" outlineLevel="0" collapsed="false">
      <c r="A41" s="2" t="s">
        <v>99</v>
      </c>
      <c r="B41" s="2" t="s">
        <v>104</v>
      </c>
      <c r="C41" s="2" t="s">
        <v>28</v>
      </c>
      <c r="D41" s="3" t="n">
        <v>1918</v>
      </c>
      <c r="E41" s="4"/>
      <c r="F41" s="5"/>
      <c r="G41" s="2" t="s">
        <v>22</v>
      </c>
      <c r="H41" s="2" t="s">
        <v>23</v>
      </c>
      <c r="I41" s="5"/>
      <c r="J41" s="5"/>
      <c r="K41" s="5"/>
      <c r="L41" s="5"/>
      <c r="M41" s="5"/>
      <c r="N41" s="5" t="str">
        <f aca="false">IF(I41="","",I41-J41)</f>
        <v/>
      </c>
      <c r="O41" s="6" t="str">
        <f aca="false">IF(I41="","",I41/(I41+J41))</f>
        <v/>
      </c>
      <c r="P41" s="5"/>
      <c r="Q41" s="2"/>
      <c r="R41" s="2"/>
      <c r="S41" s="7"/>
    </row>
    <row r="42" customFormat="false" ht="15" hidden="false" customHeight="false" outlineLevel="0" collapsed="false">
      <c r="A42" s="2" t="s">
        <v>99</v>
      </c>
      <c r="B42" s="2" t="s">
        <v>105</v>
      </c>
      <c r="C42" s="2" t="s">
        <v>28</v>
      </c>
      <c r="D42" s="3" t="n">
        <v>1920</v>
      </c>
      <c r="E42" s="4"/>
      <c r="F42" s="5"/>
      <c r="G42" s="2" t="s">
        <v>22</v>
      </c>
      <c r="H42" s="2" t="s">
        <v>23</v>
      </c>
      <c r="I42" s="5"/>
      <c r="J42" s="5"/>
      <c r="K42" s="5"/>
      <c r="L42" s="5"/>
      <c r="M42" s="5"/>
      <c r="N42" s="5" t="str">
        <f aca="false">IF(I42="","",I42-J42)</f>
        <v/>
      </c>
      <c r="O42" s="6" t="str">
        <f aca="false">IF(I42="","",I42/(I42+J42))</f>
        <v/>
      </c>
      <c r="P42" s="5"/>
      <c r="Q42" s="2"/>
      <c r="R42" s="2"/>
      <c r="S42" s="7"/>
    </row>
    <row r="43" customFormat="false" ht="15" hidden="false" customHeight="false" outlineLevel="0" collapsed="false">
      <c r="A43" s="2" t="s">
        <v>99</v>
      </c>
      <c r="B43" s="2" t="s">
        <v>106</v>
      </c>
      <c r="C43" s="2" t="s">
        <v>32</v>
      </c>
      <c r="D43" s="3" t="n">
        <v>1921</v>
      </c>
      <c r="E43" s="4"/>
      <c r="F43" s="5"/>
      <c r="G43" s="2" t="s">
        <v>22</v>
      </c>
      <c r="H43" s="2" t="s">
        <v>23</v>
      </c>
      <c r="I43" s="5"/>
      <c r="J43" s="5"/>
      <c r="K43" s="5"/>
      <c r="L43" s="5"/>
      <c r="M43" s="5"/>
      <c r="N43" s="5" t="str">
        <f aca="false">IF(I43="","",I43-J43)</f>
        <v/>
      </c>
      <c r="O43" s="6" t="str">
        <f aca="false">IF(I43="","",I43/(I43+J43))</f>
        <v/>
      </c>
      <c r="P43" s="5"/>
      <c r="Q43" s="2"/>
      <c r="R43" s="2"/>
      <c r="S43" s="7"/>
    </row>
    <row r="44" customFormat="false" ht="15" hidden="false" customHeight="false" outlineLevel="0" collapsed="false">
      <c r="A44" s="2" t="s">
        <v>99</v>
      </c>
      <c r="B44" s="2" t="s">
        <v>107</v>
      </c>
      <c r="C44" s="2" t="s">
        <v>37</v>
      </c>
      <c r="D44" s="3" t="n">
        <v>1932</v>
      </c>
      <c r="E44" s="4"/>
      <c r="F44" s="5"/>
      <c r="G44" s="2" t="s">
        <v>22</v>
      </c>
      <c r="H44" s="2" t="s">
        <v>23</v>
      </c>
      <c r="I44" s="5"/>
      <c r="J44" s="5"/>
      <c r="K44" s="5"/>
      <c r="L44" s="5"/>
      <c r="M44" s="5"/>
      <c r="N44" s="5" t="str">
        <f aca="false">IF(I44="","",I44-J44)</f>
        <v/>
      </c>
      <c r="O44" s="6" t="str">
        <f aca="false">IF(I44="","",I44/(I44+J44))</f>
        <v/>
      </c>
      <c r="P44" s="5"/>
      <c r="Q44" s="2"/>
      <c r="R44" s="2"/>
      <c r="S44" s="7"/>
    </row>
    <row r="45" customFormat="false" ht="15" hidden="false" customHeight="false" outlineLevel="0" collapsed="false">
      <c r="A45" s="2" t="s">
        <v>99</v>
      </c>
      <c r="B45" s="2" t="s">
        <v>108</v>
      </c>
      <c r="C45" s="2" t="s">
        <v>39</v>
      </c>
      <c r="D45" s="3" t="n">
        <v>1933</v>
      </c>
      <c r="E45" s="4"/>
      <c r="F45" s="5"/>
      <c r="G45" s="2" t="s">
        <v>22</v>
      </c>
      <c r="H45" s="2" t="s">
        <v>23</v>
      </c>
      <c r="I45" s="5"/>
      <c r="J45" s="5"/>
      <c r="K45" s="5"/>
      <c r="L45" s="5"/>
      <c r="M45" s="5"/>
      <c r="N45" s="5" t="str">
        <f aca="false">IF(I45="","",I45-J45)</f>
        <v/>
      </c>
      <c r="O45" s="6" t="str">
        <f aca="false">IF(I45="","",I45/(I45+J45))</f>
        <v/>
      </c>
      <c r="P45" s="5"/>
      <c r="Q45" s="2"/>
      <c r="R45" s="2"/>
      <c r="S45" s="7"/>
    </row>
    <row r="46" customFormat="false" ht="15" hidden="false" customHeight="false" outlineLevel="0" collapsed="false">
      <c r="A46" s="2" t="s">
        <v>99</v>
      </c>
      <c r="B46" s="2" t="s">
        <v>109</v>
      </c>
      <c r="C46" s="2" t="s">
        <v>39</v>
      </c>
      <c r="D46" s="3" t="n">
        <v>1934</v>
      </c>
      <c r="E46" s="4"/>
      <c r="F46" s="5"/>
      <c r="G46" s="2" t="s">
        <v>22</v>
      </c>
      <c r="H46" s="2" t="s">
        <v>23</v>
      </c>
      <c r="I46" s="5"/>
      <c r="J46" s="5"/>
      <c r="K46" s="5"/>
      <c r="L46" s="5"/>
      <c r="M46" s="5"/>
      <c r="N46" s="5" t="str">
        <f aca="false">IF(I46="","",I46-J46)</f>
        <v/>
      </c>
      <c r="O46" s="6" t="str">
        <f aca="false">IF(I46="","",I46/(I46+J46))</f>
        <v/>
      </c>
      <c r="P46" s="5"/>
      <c r="Q46" s="2"/>
      <c r="R46" s="2"/>
      <c r="S46" s="7"/>
    </row>
    <row r="47" customFormat="false" ht="15" hidden="false" customHeight="false" outlineLevel="0" collapsed="false">
      <c r="A47" s="2" t="s">
        <v>99</v>
      </c>
      <c r="B47" s="2" t="s">
        <v>110</v>
      </c>
      <c r="C47" s="2" t="s">
        <v>46</v>
      </c>
      <c r="D47" s="3" t="n">
        <v>1945</v>
      </c>
      <c r="E47" s="4"/>
      <c r="F47" s="5"/>
      <c r="G47" s="2" t="s">
        <v>22</v>
      </c>
      <c r="H47" s="2" t="s">
        <v>23</v>
      </c>
      <c r="I47" s="5"/>
      <c r="J47" s="5"/>
      <c r="K47" s="5"/>
      <c r="L47" s="5"/>
      <c r="M47" s="5"/>
      <c r="N47" s="5" t="str">
        <f aca="false">IF(I47="","",I47-J47)</f>
        <v/>
      </c>
      <c r="O47" s="6" t="str">
        <f aca="false">IF(I47="","",I47/(I47+J47))</f>
        <v/>
      </c>
      <c r="P47" s="5"/>
      <c r="Q47" s="2"/>
      <c r="R47" s="2"/>
      <c r="S47" s="7"/>
    </row>
    <row r="48" customFormat="false" ht="15" hidden="false" customHeight="false" outlineLevel="0" collapsed="false">
      <c r="A48" s="2" t="s">
        <v>99</v>
      </c>
      <c r="B48" s="2" t="s">
        <v>111</v>
      </c>
      <c r="C48" s="2" t="s">
        <v>46</v>
      </c>
      <c r="D48" s="3" t="n">
        <v>1946</v>
      </c>
      <c r="E48" s="4"/>
      <c r="F48" s="5"/>
      <c r="G48" s="2" t="s">
        <v>22</v>
      </c>
      <c r="H48" s="2" t="s">
        <v>23</v>
      </c>
      <c r="I48" s="5"/>
      <c r="J48" s="5"/>
      <c r="K48" s="5"/>
      <c r="L48" s="5"/>
      <c r="M48" s="5"/>
      <c r="N48" s="5" t="str">
        <f aca="false">IF(I48="","",I48-J48)</f>
        <v/>
      </c>
      <c r="O48" s="6" t="str">
        <f aca="false">IF(I48="","",I48/(I48+J48))</f>
        <v/>
      </c>
      <c r="P48" s="5"/>
      <c r="Q48" s="2"/>
      <c r="R48" s="2"/>
      <c r="S48" s="7"/>
    </row>
    <row r="49" customFormat="false" ht="15" hidden="false" customHeight="false" outlineLevel="0" collapsed="false">
      <c r="A49" s="2" t="s">
        <v>99</v>
      </c>
      <c r="B49" s="2" t="s">
        <v>112</v>
      </c>
      <c r="C49" s="2" t="s">
        <v>52</v>
      </c>
      <c r="D49" s="3" t="n">
        <v>1953</v>
      </c>
      <c r="E49" s="4"/>
      <c r="F49" s="5"/>
      <c r="G49" s="2" t="s">
        <v>22</v>
      </c>
      <c r="H49" s="2" t="s">
        <v>23</v>
      </c>
      <c r="I49" s="5"/>
      <c r="J49" s="5"/>
      <c r="K49" s="5"/>
      <c r="L49" s="5"/>
      <c r="M49" s="5"/>
      <c r="N49" s="5" t="str">
        <f aca="false">IF(I49="","",I49-J49)</f>
        <v/>
      </c>
      <c r="O49" s="6" t="str">
        <f aca="false">IF(I49="","",I49/(I49+J49))</f>
        <v/>
      </c>
      <c r="P49" s="5"/>
      <c r="Q49" s="2"/>
      <c r="R49" s="2"/>
      <c r="S49" s="7"/>
    </row>
    <row r="50" customFormat="false" ht="15" hidden="false" customHeight="false" outlineLevel="0" collapsed="false">
      <c r="A50" s="2" t="s">
        <v>99</v>
      </c>
      <c r="B50" s="2" t="s">
        <v>113</v>
      </c>
      <c r="C50" s="2" t="s">
        <v>52</v>
      </c>
      <c r="D50" s="3" t="n">
        <v>1957</v>
      </c>
      <c r="E50" s="4"/>
      <c r="F50" s="5"/>
      <c r="G50" s="2" t="s">
        <v>22</v>
      </c>
      <c r="H50" s="2" t="s">
        <v>23</v>
      </c>
      <c r="I50" s="5"/>
      <c r="J50" s="5"/>
      <c r="K50" s="5"/>
      <c r="L50" s="5"/>
      <c r="M50" s="5"/>
      <c r="N50" s="5" t="str">
        <f aca="false">IF(I50="","",I50-J50)</f>
        <v/>
      </c>
      <c r="O50" s="6" t="str">
        <f aca="false">IF(I50="","",I50/(I50+J50))</f>
        <v/>
      </c>
      <c r="P50" s="5"/>
      <c r="Q50" s="2"/>
      <c r="R50" s="2"/>
      <c r="S50" s="7"/>
    </row>
    <row r="51" customFormat="false" ht="15" hidden="false" customHeight="false" outlineLevel="0" collapsed="false">
      <c r="A51" s="2" t="s">
        <v>99</v>
      </c>
      <c r="B51" s="2" t="s">
        <v>114</v>
      </c>
      <c r="C51" s="2" t="s">
        <v>57</v>
      </c>
      <c r="D51" s="3" t="n">
        <v>1961</v>
      </c>
      <c r="E51" s="4"/>
      <c r="F51" s="5"/>
      <c r="G51" s="2" t="s">
        <v>22</v>
      </c>
      <c r="H51" s="2" t="s">
        <v>23</v>
      </c>
      <c r="I51" s="5"/>
      <c r="J51" s="5"/>
      <c r="K51" s="5"/>
      <c r="L51" s="5"/>
      <c r="M51" s="5"/>
      <c r="N51" s="5" t="str">
        <f aca="false">IF(I51="","",I51-J51)</f>
        <v/>
      </c>
      <c r="O51" s="6" t="str">
        <f aca="false">IF(I51="","",I51/(I51+J51))</f>
        <v/>
      </c>
      <c r="P51" s="5"/>
      <c r="Q51" s="2"/>
      <c r="R51" s="2"/>
      <c r="S51" s="7"/>
    </row>
    <row r="52" customFormat="false" ht="15" hidden="false" customHeight="false" outlineLevel="0" collapsed="false">
      <c r="A52" s="2" t="s">
        <v>99</v>
      </c>
      <c r="B52" s="2" t="s">
        <v>115</v>
      </c>
      <c r="C52" s="2" t="s">
        <v>116</v>
      </c>
      <c r="D52" s="3" t="n">
        <v>1965</v>
      </c>
      <c r="E52" s="4"/>
      <c r="F52" s="5"/>
      <c r="G52" s="2" t="s">
        <v>22</v>
      </c>
      <c r="H52" s="2" t="s">
        <v>23</v>
      </c>
      <c r="I52" s="5"/>
      <c r="J52" s="5"/>
      <c r="K52" s="5"/>
      <c r="L52" s="5"/>
      <c r="M52" s="5"/>
      <c r="N52" s="5" t="str">
        <f aca="false">IF(I52="","",I52-J52)</f>
        <v/>
      </c>
      <c r="O52" s="6" t="str">
        <f aca="false">IF(I52="","",I52/(I52+J52))</f>
        <v/>
      </c>
      <c r="P52" s="5"/>
      <c r="Q52" s="2"/>
      <c r="R52" s="2"/>
      <c r="S52" s="7"/>
    </row>
    <row r="53" customFormat="false" ht="23.85" hidden="false" customHeight="false" outlineLevel="0" collapsed="false">
      <c r="A53" s="2" t="s">
        <v>99</v>
      </c>
      <c r="B53" s="2" t="s">
        <v>117</v>
      </c>
      <c r="C53" s="2" t="s">
        <v>116</v>
      </c>
      <c r="D53" s="3" t="n">
        <v>1968</v>
      </c>
      <c r="E53" s="4"/>
      <c r="F53" s="5"/>
      <c r="G53" s="2" t="s">
        <v>78</v>
      </c>
      <c r="H53" s="2" t="s">
        <v>79</v>
      </c>
      <c r="I53" s="5"/>
      <c r="J53" s="5"/>
      <c r="K53" s="5"/>
      <c r="L53" s="5"/>
      <c r="M53" s="5"/>
      <c r="N53" s="5" t="str">
        <f aca="false">IF(I53="","",I53-J53)</f>
        <v/>
      </c>
      <c r="O53" s="6" t="str">
        <f aca="false">IF(I53="","",I53/(I53+J53))</f>
        <v/>
      </c>
      <c r="P53" s="5"/>
      <c r="Q53" s="2"/>
      <c r="R53" s="2"/>
      <c r="S53" s="7" t="s">
        <v>118</v>
      </c>
    </row>
    <row r="54" customFormat="false" ht="15" hidden="false" customHeight="false" outlineLevel="0" collapsed="false">
      <c r="A54" s="2" t="s">
        <v>99</v>
      </c>
      <c r="B54" s="2" t="s">
        <v>119</v>
      </c>
      <c r="C54" s="2" t="s">
        <v>59</v>
      </c>
      <c r="D54" s="3" t="n">
        <v>1969</v>
      </c>
      <c r="E54" s="4"/>
      <c r="F54" s="5"/>
      <c r="G54" s="2" t="s">
        <v>22</v>
      </c>
      <c r="H54" s="2" t="s">
        <v>23</v>
      </c>
      <c r="I54" s="5"/>
      <c r="J54" s="5"/>
      <c r="K54" s="5"/>
      <c r="L54" s="5"/>
      <c r="M54" s="5"/>
      <c r="N54" s="5" t="str">
        <f aca="false">IF(I54="","",I54-J54)</f>
        <v/>
      </c>
      <c r="O54" s="6" t="str">
        <f aca="false">IF(I54="","",I54/(I54+J54))</f>
        <v/>
      </c>
      <c r="P54" s="5"/>
      <c r="Q54" s="2"/>
      <c r="R54" s="2"/>
      <c r="S54" s="7"/>
    </row>
    <row r="55" customFormat="false" ht="15" hidden="false" customHeight="false" outlineLevel="0" collapsed="false">
      <c r="A55" s="2" t="s">
        <v>99</v>
      </c>
      <c r="B55" s="2" t="s">
        <v>120</v>
      </c>
      <c r="C55" s="2" t="s">
        <v>59</v>
      </c>
      <c r="D55" s="3" t="n">
        <v>1971</v>
      </c>
      <c r="E55" s="4"/>
      <c r="F55" s="5"/>
      <c r="G55" s="2" t="s">
        <v>22</v>
      </c>
      <c r="H55" s="2" t="s">
        <v>23</v>
      </c>
      <c r="I55" s="5"/>
      <c r="J55" s="5"/>
      <c r="K55" s="5"/>
      <c r="L55" s="5"/>
      <c r="M55" s="5"/>
      <c r="N55" s="5" t="str">
        <f aca="false">IF(I55="","",I55-J55)</f>
        <v/>
      </c>
      <c r="O55" s="6" t="str">
        <f aca="false">IF(I55="","",I55/(I55+J55))</f>
        <v/>
      </c>
      <c r="P55" s="5"/>
      <c r="Q55" s="2"/>
      <c r="R55" s="2"/>
      <c r="S55" s="7"/>
    </row>
    <row r="56" customFormat="false" ht="15" hidden="false" customHeight="false" outlineLevel="0" collapsed="false">
      <c r="A56" s="2" t="s">
        <v>99</v>
      </c>
      <c r="B56" s="2" t="s">
        <v>71</v>
      </c>
      <c r="C56" s="2" t="s">
        <v>59</v>
      </c>
      <c r="D56" s="3" t="n">
        <v>1972</v>
      </c>
      <c r="E56" s="4" t="n">
        <v>26458</v>
      </c>
      <c r="F56" s="5" t="n">
        <v>92</v>
      </c>
      <c r="G56" s="2" t="s">
        <v>22</v>
      </c>
      <c r="H56" s="2" t="s">
        <v>41</v>
      </c>
      <c r="I56" s="5" t="n">
        <v>83</v>
      </c>
      <c r="J56" s="5" t="n">
        <v>0</v>
      </c>
      <c r="K56" s="5" t="n">
        <v>0</v>
      </c>
      <c r="L56" s="5" t="n">
        <v>17</v>
      </c>
      <c r="M56" s="5"/>
      <c r="N56" s="5" t="n">
        <f aca="false">IF(I56="","",I56-J56)</f>
        <v>83</v>
      </c>
      <c r="O56" s="6" t="n">
        <f aca="false">IF(I56="","",I56/(I56+J56))</f>
        <v>1</v>
      </c>
      <c r="P56" s="5"/>
      <c r="Q56" s="2" t="s">
        <v>121</v>
      </c>
      <c r="R56" s="2" t="s">
        <v>43</v>
      </c>
      <c r="S56" s="7" t="s">
        <v>73</v>
      </c>
    </row>
    <row r="57" customFormat="false" ht="15" hidden="false" customHeight="false" outlineLevel="0" collapsed="false">
      <c r="A57" s="2" t="s">
        <v>99</v>
      </c>
      <c r="B57" s="2" t="s">
        <v>122</v>
      </c>
      <c r="C57" s="2" t="s">
        <v>59</v>
      </c>
      <c r="D57" s="3" t="n">
        <v>1974</v>
      </c>
      <c r="E57" s="4"/>
      <c r="F57" s="5"/>
      <c r="G57" s="2" t="s">
        <v>22</v>
      </c>
      <c r="H57" s="2" t="s">
        <v>23</v>
      </c>
      <c r="I57" s="5"/>
      <c r="J57" s="5"/>
      <c r="K57" s="5"/>
      <c r="L57" s="5"/>
      <c r="M57" s="5"/>
      <c r="N57" s="5" t="str">
        <f aca="false">IF(I57="","",I57-J57)</f>
        <v/>
      </c>
      <c r="O57" s="6" t="str">
        <f aca="false">IF(I57="","",I57/(I57+J57))</f>
        <v/>
      </c>
      <c r="P57" s="5"/>
      <c r="Q57" s="2"/>
      <c r="R57" s="2"/>
      <c r="S57" s="7"/>
    </row>
    <row r="58" customFormat="false" ht="15" hidden="false" customHeight="false" outlineLevel="0" collapsed="false">
      <c r="A58" s="2" t="s">
        <v>99</v>
      </c>
      <c r="B58" s="2" t="s">
        <v>123</v>
      </c>
      <c r="C58" s="2" t="s">
        <v>63</v>
      </c>
      <c r="D58" s="3" t="n">
        <v>1977</v>
      </c>
      <c r="E58" s="4" t="n">
        <v>28145</v>
      </c>
      <c r="F58" s="5" t="n">
        <v>95</v>
      </c>
      <c r="G58" s="2" t="s">
        <v>22</v>
      </c>
      <c r="H58" s="2" t="s">
        <v>64</v>
      </c>
      <c r="I58" s="5"/>
      <c r="J58" s="5"/>
      <c r="K58" s="5"/>
      <c r="L58" s="5"/>
      <c r="M58" s="5"/>
      <c r="N58" s="5" t="str">
        <f aca="false">IF(I58="","",I58-J58)</f>
        <v/>
      </c>
      <c r="O58" s="6" t="str">
        <f aca="false">IF(I58="","",I58/(I58+J58))</f>
        <v/>
      </c>
      <c r="P58" s="5"/>
      <c r="Q58" s="2"/>
      <c r="R58" s="2"/>
      <c r="S58" s="7"/>
    </row>
    <row r="59" customFormat="false" ht="15" hidden="false" customHeight="false" outlineLevel="0" collapsed="false">
      <c r="A59" s="2" t="s">
        <v>99</v>
      </c>
      <c r="B59" s="2" t="s">
        <v>124</v>
      </c>
      <c r="C59" s="2" t="s">
        <v>63</v>
      </c>
      <c r="D59" s="3" t="n">
        <v>1979</v>
      </c>
      <c r="E59" s="4" t="n">
        <v>29069</v>
      </c>
      <c r="F59" s="5" t="n">
        <v>96</v>
      </c>
      <c r="G59" s="2" t="s">
        <v>22</v>
      </c>
      <c r="H59" s="2" t="s">
        <v>41</v>
      </c>
      <c r="I59" s="5" t="n">
        <v>97</v>
      </c>
      <c r="J59" s="5" t="n">
        <v>1</v>
      </c>
      <c r="K59" s="5" t="n">
        <v>0</v>
      </c>
      <c r="L59" s="5" t="n">
        <v>2</v>
      </c>
      <c r="M59" s="5"/>
      <c r="N59" s="5" t="n">
        <f aca="false">IF(I59="","",I59-J59)</f>
        <v>96</v>
      </c>
      <c r="O59" s="6" t="n">
        <f aca="false">IF(I59="","",I59/(I59+J59))</f>
        <v>0.989795918367347</v>
      </c>
      <c r="P59" s="5" t="n">
        <v>247</v>
      </c>
      <c r="Q59" s="2" t="s">
        <v>125</v>
      </c>
      <c r="R59" s="2" t="s">
        <v>43</v>
      </c>
      <c r="S59" s="7"/>
    </row>
    <row r="60" customFormat="false" ht="15" hidden="false" customHeight="false" outlineLevel="0" collapsed="false">
      <c r="A60" s="2" t="s">
        <v>99</v>
      </c>
      <c r="B60" s="2" t="s">
        <v>126</v>
      </c>
      <c r="C60" s="2" t="s">
        <v>69</v>
      </c>
      <c r="D60" s="3" t="n">
        <v>1981</v>
      </c>
      <c r="E60" s="4" t="n">
        <v>29607</v>
      </c>
      <c r="F60" s="5" t="n">
        <v>97</v>
      </c>
      <c r="G60" s="2" t="s">
        <v>22</v>
      </c>
      <c r="H60" s="2" t="s">
        <v>41</v>
      </c>
      <c r="I60" s="5" t="n">
        <v>98</v>
      </c>
      <c r="J60" s="5" t="n">
        <v>0</v>
      </c>
      <c r="K60" s="5" t="n">
        <v>0</v>
      </c>
      <c r="L60" s="5" t="n">
        <v>2</v>
      </c>
      <c r="M60" s="5"/>
      <c r="N60" s="5" t="n">
        <f aca="false">IF(I60="","",I60-J60)</f>
        <v>98</v>
      </c>
      <c r="O60" s="6" t="n">
        <f aca="false">IF(I60="","",I60/(I60+J60))</f>
        <v>1</v>
      </c>
      <c r="P60" s="5" t="n">
        <v>6</v>
      </c>
      <c r="Q60" s="2" t="s">
        <v>127</v>
      </c>
      <c r="R60" s="2" t="s">
        <v>43</v>
      </c>
      <c r="S60" s="7"/>
    </row>
    <row r="61" customFormat="false" ht="15" hidden="false" customHeight="false" outlineLevel="0" collapsed="false">
      <c r="A61" s="2" t="s">
        <v>99</v>
      </c>
      <c r="B61" s="2" t="s">
        <v>74</v>
      </c>
      <c r="C61" s="2" t="s">
        <v>69</v>
      </c>
      <c r="D61" s="3" t="n">
        <v>1985</v>
      </c>
      <c r="E61" s="4" t="n">
        <v>31076</v>
      </c>
      <c r="F61" s="5" t="n">
        <v>99</v>
      </c>
      <c r="G61" s="2" t="s">
        <v>22</v>
      </c>
      <c r="H61" s="2" t="s">
        <v>41</v>
      </c>
      <c r="I61" s="5" t="n">
        <v>95</v>
      </c>
      <c r="J61" s="5" t="n">
        <v>0</v>
      </c>
      <c r="K61" s="5" t="n">
        <v>0</v>
      </c>
      <c r="L61" s="5" t="n">
        <v>5</v>
      </c>
      <c r="M61" s="5"/>
      <c r="N61" s="5" t="n">
        <f aca="false">IF(I61="","",I61-J61)</f>
        <v>95</v>
      </c>
      <c r="O61" s="6" t="n">
        <f aca="false">IF(I61="","",I61/(I61+J61))</f>
        <v>1</v>
      </c>
      <c r="P61" s="5" t="n">
        <v>1</v>
      </c>
      <c r="Q61" s="2" t="s">
        <v>128</v>
      </c>
      <c r="R61" s="2" t="s">
        <v>43</v>
      </c>
      <c r="S61" s="7"/>
    </row>
    <row r="62" customFormat="false" ht="15" hidden="false" customHeight="false" outlineLevel="0" collapsed="false">
      <c r="A62" s="2" t="s">
        <v>99</v>
      </c>
      <c r="B62" s="2" t="s">
        <v>129</v>
      </c>
      <c r="C62" s="2" t="s">
        <v>69</v>
      </c>
      <c r="D62" s="3" t="n">
        <v>1988</v>
      </c>
      <c r="E62" s="4" t="n">
        <v>32400</v>
      </c>
      <c r="F62" s="5" t="n">
        <v>100</v>
      </c>
      <c r="G62" s="2" t="s">
        <v>22</v>
      </c>
      <c r="H62" s="2" t="s">
        <v>41</v>
      </c>
      <c r="I62" s="5" t="n">
        <v>92</v>
      </c>
      <c r="J62" s="5" t="n">
        <v>2</v>
      </c>
      <c r="K62" s="5" t="n">
        <v>0</v>
      </c>
      <c r="L62" s="5" t="n">
        <v>6</v>
      </c>
      <c r="M62" s="5"/>
      <c r="N62" s="5" t="n">
        <f aca="false">IF(I62="","",I62-J62)</f>
        <v>90</v>
      </c>
      <c r="O62" s="6" t="n">
        <f aca="false">IF(I62="","",I62/(I62+J62))</f>
        <v>0.978723404255319</v>
      </c>
      <c r="P62" s="5" t="n">
        <v>328</v>
      </c>
      <c r="Q62" s="2" t="s">
        <v>130</v>
      </c>
      <c r="R62" s="2" t="s">
        <v>43</v>
      </c>
      <c r="S62" s="7" t="s">
        <v>131</v>
      </c>
    </row>
    <row r="63" customFormat="false" ht="15" hidden="false" customHeight="false" outlineLevel="0" collapsed="false">
      <c r="A63" s="2" t="s">
        <v>99</v>
      </c>
      <c r="B63" s="2" t="s">
        <v>132</v>
      </c>
      <c r="C63" s="2" t="s">
        <v>82</v>
      </c>
      <c r="D63" s="3" t="n">
        <v>1993</v>
      </c>
      <c r="E63" s="4" t="n">
        <v>33989</v>
      </c>
      <c r="F63" s="5" t="n">
        <v>103</v>
      </c>
      <c r="G63" s="2" t="s">
        <v>22</v>
      </c>
      <c r="H63" s="2" t="s">
        <v>64</v>
      </c>
      <c r="I63" s="5"/>
      <c r="J63" s="5"/>
      <c r="K63" s="5"/>
      <c r="L63" s="5"/>
      <c r="M63" s="5"/>
      <c r="N63" s="5" t="str">
        <f aca="false">IF(I63="","",I63-J63)</f>
        <v/>
      </c>
      <c r="O63" s="6" t="str">
        <f aca="false">IF(I63="","",I63/(I63+J63))</f>
        <v/>
      </c>
      <c r="P63" s="5"/>
      <c r="Q63" s="2"/>
      <c r="R63" s="2"/>
      <c r="S63" s="7"/>
    </row>
    <row r="64" customFormat="false" ht="15" hidden="false" customHeight="false" outlineLevel="0" collapsed="false">
      <c r="A64" s="2" t="s">
        <v>99</v>
      </c>
      <c r="B64" s="2" t="s">
        <v>133</v>
      </c>
      <c r="C64" s="2" t="s">
        <v>82</v>
      </c>
      <c r="D64" s="3" t="n">
        <v>1995</v>
      </c>
      <c r="E64" s="4" t="n">
        <v>34709</v>
      </c>
      <c r="F64" s="5" t="n">
        <v>104</v>
      </c>
      <c r="G64" s="2" t="s">
        <v>22</v>
      </c>
      <c r="H64" s="2" t="s">
        <v>41</v>
      </c>
      <c r="I64" s="5" t="n">
        <v>99</v>
      </c>
      <c r="J64" s="5" t="n">
        <v>0</v>
      </c>
      <c r="K64" s="5" t="n">
        <v>0</v>
      </c>
      <c r="L64" s="5" t="n">
        <v>1</v>
      </c>
      <c r="M64" s="5"/>
      <c r="N64" s="5" t="n">
        <f aca="false">IF(I64="","",I64-J64)</f>
        <v>99</v>
      </c>
      <c r="O64" s="6" t="n">
        <f aca="false">IF(I64="","",I64/(I64+J64))</f>
        <v>1</v>
      </c>
      <c r="P64" s="5" t="n">
        <v>12</v>
      </c>
      <c r="Q64" s="2"/>
      <c r="R64" s="2" t="s">
        <v>76</v>
      </c>
      <c r="S64" s="7"/>
    </row>
    <row r="65" customFormat="false" ht="15" hidden="false" customHeight="false" outlineLevel="0" collapsed="false">
      <c r="A65" s="2" t="s">
        <v>99</v>
      </c>
      <c r="B65" s="2" t="s">
        <v>134</v>
      </c>
      <c r="C65" s="2" t="s">
        <v>82</v>
      </c>
      <c r="D65" s="3" t="n">
        <v>1999</v>
      </c>
      <c r="E65" s="4" t="n">
        <v>36342</v>
      </c>
      <c r="F65" s="5" t="n">
        <v>106</v>
      </c>
      <c r="G65" s="2" t="s">
        <v>22</v>
      </c>
      <c r="H65" s="2" t="s">
        <v>41</v>
      </c>
      <c r="I65" s="5" t="n">
        <v>97</v>
      </c>
      <c r="J65" s="5" t="n">
        <v>2</v>
      </c>
      <c r="K65" s="5" t="n">
        <v>0</v>
      </c>
      <c r="L65" s="5" t="n">
        <v>1</v>
      </c>
      <c r="M65" s="5"/>
      <c r="N65" s="5" t="n">
        <f aca="false">IF(I65="","",I65-J65)</f>
        <v>95</v>
      </c>
      <c r="O65" s="6" t="n">
        <f aca="false">IF(I65="","",I65/(I65+J65))</f>
        <v>0.97979797979798</v>
      </c>
      <c r="P65" s="5" t="n">
        <v>195</v>
      </c>
      <c r="Q65" s="2"/>
      <c r="R65" s="2" t="s">
        <v>76</v>
      </c>
      <c r="S65" s="7"/>
    </row>
    <row r="66" customFormat="false" ht="15" hidden="false" customHeight="false" outlineLevel="0" collapsed="false">
      <c r="A66" s="2" t="s">
        <v>99</v>
      </c>
      <c r="B66" s="2" t="s">
        <v>135</v>
      </c>
      <c r="C66" s="2" t="s">
        <v>85</v>
      </c>
      <c r="D66" s="3" t="n">
        <v>2001</v>
      </c>
      <c r="E66" s="4" t="n">
        <v>36911</v>
      </c>
      <c r="F66" s="5" t="n">
        <v>107</v>
      </c>
      <c r="G66" s="2" t="s">
        <v>22</v>
      </c>
      <c r="H66" s="2" t="s">
        <v>64</v>
      </c>
      <c r="I66" s="5"/>
      <c r="J66" s="5"/>
      <c r="K66" s="5"/>
      <c r="L66" s="5"/>
      <c r="M66" s="5"/>
      <c r="N66" s="5" t="str">
        <f aca="false">IF(I66="","",I66-J66)</f>
        <v/>
      </c>
      <c r="O66" s="6" t="str">
        <f aca="false">IF(I66="","",I66/(I66+J66))</f>
        <v/>
      </c>
      <c r="P66" s="5"/>
      <c r="Q66" s="2"/>
      <c r="R66" s="2"/>
      <c r="S66" s="7"/>
    </row>
    <row r="67" customFormat="false" ht="15" hidden="false" customHeight="false" outlineLevel="0" collapsed="false">
      <c r="A67" s="2" t="s">
        <v>99</v>
      </c>
      <c r="B67" s="2" t="s">
        <v>136</v>
      </c>
      <c r="C67" s="2" t="s">
        <v>85</v>
      </c>
      <c r="D67" s="3" t="n">
        <v>2003</v>
      </c>
      <c r="E67" s="4" t="n">
        <v>37651</v>
      </c>
      <c r="F67" s="5" t="n">
        <v>108</v>
      </c>
      <c r="G67" s="2" t="s">
        <v>22</v>
      </c>
      <c r="H67" s="2" t="s">
        <v>137</v>
      </c>
      <c r="I67" s="5"/>
      <c r="J67" s="5"/>
      <c r="K67" s="5"/>
      <c r="L67" s="5"/>
      <c r="M67" s="5"/>
      <c r="N67" s="5" t="str">
        <f aca="false">IF(I67="","",I67-J67)</f>
        <v/>
      </c>
      <c r="O67" s="6" t="str">
        <f aca="false">IF(I67="","",I67/(I67+J67))</f>
        <v/>
      </c>
      <c r="P67" s="5"/>
      <c r="Q67" s="2"/>
      <c r="R67" s="2"/>
      <c r="S67" s="7"/>
    </row>
    <row r="68" customFormat="false" ht="15" hidden="false" customHeight="false" outlineLevel="0" collapsed="false">
      <c r="A68" s="2" t="s">
        <v>99</v>
      </c>
      <c r="B68" s="2" t="s">
        <v>138</v>
      </c>
      <c r="C68" s="2" t="s">
        <v>85</v>
      </c>
      <c r="D68" s="3" t="n">
        <v>2006</v>
      </c>
      <c r="E68" s="4" t="n">
        <v>38896</v>
      </c>
      <c r="F68" s="5" t="n">
        <v>109</v>
      </c>
      <c r="G68" s="2" t="s">
        <v>22</v>
      </c>
      <c r="H68" s="2" t="s">
        <v>64</v>
      </c>
      <c r="I68" s="5"/>
      <c r="J68" s="5"/>
      <c r="K68" s="5"/>
      <c r="L68" s="5"/>
      <c r="M68" s="5"/>
      <c r="N68" s="5" t="str">
        <f aca="false">IF(I68="","",I68-J68)</f>
        <v/>
      </c>
      <c r="O68" s="6" t="str">
        <f aca="false">IF(I68="","",I68/(I68+J68))</f>
        <v/>
      </c>
      <c r="P68" s="5"/>
      <c r="Q68" s="2"/>
      <c r="R68" s="2"/>
      <c r="S68" s="7"/>
    </row>
    <row r="69" customFormat="false" ht="15" hidden="false" customHeight="false" outlineLevel="0" collapsed="false">
      <c r="A69" s="2" t="s">
        <v>99</v>
      </c>
      <c r="B69" s="2" t="s">
        <v>139</v>
      </c>
      <c r="C69" s="2" t="s">
        <v>88</v>
      </c>
      <c r="D69" s="3" t="n">
        <v>2009</v>
      </c>
      <c r="E69" s="4" t="n">
        <v>39839</v>
      </c>
      <c r="F69" s="5" t="n">
        <v>111</v>
      </c>
      <c r="G69" s="2" t="s">
        <v>22</v>
      </c>
      <c r="H69" s="2" t="s">
        <v>41</v>
      </c>
      <c r="I69" s="5" t="n">
        <v>60</v>
      </c>
      <c r="J69" s="5" t="n">
        <v>34</v>
      </c>
      <c r="K69" s="5" t="n">
        <v>0</v>
      </c>
      <c r="L69" s="5" t="n">
        <v>4</v>
      </c>
      <c r="M69" s="5"/>
      <c r="N69" s="5" t="n">
        <f aca="false">IF(I69="","",I69-J69)</f>
        <v>26</v>
      </c>
      <c r="O69" s="6" t="n">
        <f aca="false">IF(I69="","",I69/(I69+J69))</f>
        <v>0.638297872340426</v>
      </c>
      <c r="P69" s="5" t="n">
        <v>15</v>
      </c>
      <c r="Q69" s="2"/>
      <c r="R69" s="2" t="s">
        <v>76</v>
      </c>
      <c r="S69" s="7" t="s">
        <v>140</v>
      </c>
    </row>
    <row r="70" customFormat="false" ht="15" hidden="false" customHeight="false" outlineLevel="0" collapsed="false">
      <c r="A70" s="2" t="s">
        <v>99</v>
      </c>
      <c r="B70" s="2" t="s">
        <v>141</v>
      </c>
      <c r="C70" s="2" t="s">
        <v>88</v>
      </c>
      <c r="D70" s="3" t="n">
        <v>2013</v>
      </c>
      <c r="E70" s="4" t="n">
        <v>41332</v>
      </c>
      <c r="F70" s="5" t="n">
        <v>113</v>
      </c>
      <c r="G70" s="2" t="s">
        <v>22</v>
      </c>
      <c r="H70" s="2" t="s">
        <v>41</v>
      </c>
      <c r="I70" s="5" t="n">
        <v>71</v>
      </c>
      <c r="J70" s="5" t="n">
        <v>26</v>
      </c>
      <c r="K70" s="5" t="n">
        <v>0</v>
      </c>
      <c r="L70" s="5" t="n">
        <v>3</v>
      </c>
      <c r="M70" s="5"/>
      <c r="N70" s="5" t="n">
        <f aca="false">IF(I70="","",I70-J70)</f>
        <v>45</v>
      </c>
      <c r="O70" s="6" t="n">
        <f aca="false">IF(I70="","",I70/(I70+J70))</f>
        <v>0.731958762886598</v>
      </c>
      <c r="P70" s="5" t="n">
        <v>25</v>
      </c>
      <c r="Q70" s="2"/>
      <c r="R70" s="2" t="s">
        <v>76</v>
      </c>
      <c r="S70" s="7"/>
    </row>
    <row r="71" customFormat="false" ht="15" hidden="false" customHeight="false" outlineLevel="0" collapsed="false">
      <c r="A71" s="2" t="s">
        <v>99</v>
      </c>
      <c r="B71" s="2" t="s">
        <v>142</v>
      </c>
      <c r="C71" s="2" t="s">
        <v>93</v>
      </c>
      <c r="D71" s="3" t="n">
        <v>2017</v>
      </c>
      <c r="E71" s="4" t="n">
        <v>42779</v>
      </c>
      <c r="F71" s="5" t="n">
        <v>115</v>
      </c>
      <c r="G71" s="2" t="s">
        <v>22</v>
      </c>
      <c r="H71" s="2" t="s">
        <v>41</v>
      </c>
      <c r="I71" s="5" t="n">
        <v>53</v>
      </c>
      <c r="J71" s="5" t="n">
        <v>47</v>
      </c>
      <c r="K71" s="5" t="n">
        <v>0</v>
      </c>
      <c r="L71" s="5" t="n">
        <v>0</v>
      </c>
      <c r="M71" s="5"/>
      <c r="N71" s="5" t="n">
        <f aca="false">IF(I71="","",I71-J71)</f>
        <v>6</v>
      </c>
      <c r="O71" s="6" t="n">
        <f aca="false">IF(I71="","",I71/(I71+J71))</f>
        <v>0.53</v>
      </c>
      <c r="P71" s="5" t="n">
        <v>63</v>
      </c>
      <c r="Q71" s="2"/>
      <c r="R71" s="2" t="s">
        <v>76</v>
      </c>
      <c r="S71" s="7"/>
    </row>
    <row r="72" customFormat="false" ht="15" hidden="false" customHeight="false" outlineLevel="0" collapsed="false">
      <c r="A72" s="2" t="s">
        <v>99</v>
      </c>
      <c r="B72" s="2" t="s">
        <v>143</v>
      </c>
      <c r="C72" s="2" t="s">
        <v>96</v>
      </c>
      <c r="D72" s="3" t="n">
        <v>2021</v>
      </c>
      <c r="E72" s="4" t="n">
        <v>44221</v>
      </c>
      <c r="F72" s="5" t="n">
        <v>117</v>
      </c>
      <c r="G72" s="2" t="s">
        <v>22</v>
      </c>
      <c r="H72" s="2" t="s">
        <v>41</v>
      </c>
      <c r="I72" s="5" t="n">
        <v>84</v>
      </c>
      <c r="J72" s="5" t="n">
        <v>15</v>
      </c>
      <c r="K72" s="5" t="n">
        <v>0</v>
      </c>
      <c r="L72" s="5" t="n">
        <v>1</v>
      </c>
      <c r="M72" s="5"/>
      <c r="N72" s="5" t="n">
        <f aca="false">IF(I72="","",I72-J72)</f>
        <v>69</v>
      </c>
      <c r="O72" s="6" t="n">
        <f aca="false">IF(I72="","",I72/(I72+J72))</f>
        <v>0.848484848484849</v>
      </c>
      <c r="P72" s="5" t="n">
        <v>6</v>
      </c>
      <c r="Q72" s="2"/>
      <c r="R72" s="2" t="s">
        <v>76</v>
      </c>
      <c r="S72" s="7"/>
    </row>
    <row r="73" customFormat="false" ht="15" hidden="false" customHeight="false" outlineLevel="0" collapsed="false">
      <c r="A73" s="2" t="s">
        <v>99</v>
      </c>
      <c r="B73" s="2" t="s">
        <v>144</v>
      </c>
      <c r="C73" s="2" t="s">
        <v>93</v>
      </c>
      <c r="D73" s="3" t="n">
        <v>2025</v>
      </c>
      <c r="E73" s="4" t="n">
        <v>45684</v>
      </c>
      <c r="F73" s="5" t="n">
        <v>119</v>
      </c>
      <c r="G73" s="2" t="s">
        <v>22</v>
      </c>
      <c r="H73" s="2" t="s">
        <v>41</v>
      </c>
      <c r="I73" s="5" t="n">
        <v>68</v>
      </c>
      <c r="J73" s="5" t="n">
        <v>29</v>
      </c>
      <c r="K73" s="5" t="n">
        <v>0</v>
      </c>
      <c r="L73" s="5" t="n">
        <v>3</v>
      </c>
      <c r="M73" s="5"/>
      <c r="N73" s="5" t="n">
        <f aca="false">IF(I73="","",I73-J73)</f>
        <v>39</v>
      </c>
      <c r="O73" s="6" t="n">
        <f aca="false">IF(I73="","",I73/(I73+J73))</f>
        <v>0.701030927835052</v>
      </c>
      <c r="P73" s="5" t="n">
        <v>19</v>
      </c>
      <c r="Q73" s="2"/>
      <c r="R73" s="2" t="s">
        <v>76</v>
      </c>
      <c r="S73" s="7"/>
    </row>
    <row r="74" customFormat="false" ht="15" hidden="false" customHeight="false" outlineLevel="0" collapsed="false">
      <c r="A74" s="2" t="s">
        <v>145</v>
      </c>
      <c r="B74" s="2" t="s">
        <v>146</v>
      </c>
      <c r="C74" s="2" t="s">
        <v>46</v>
      </c>
      <c r="D74" s="3" t="n">
        <v>1947</v>
      </c>
      <c r="E74" s="4"/>
      <c r="F74" s="5"/>
      <c r="G74" s="2" t="s">
        <v>22</v>
      </c>
      <c r="H74" s="2" t="s">
        <v>23</v>
      </c>
      <c r="I74" s="5"/>
      <c r="J74" s="5"/>
      <c r="K74" s="5"/>
      <c r="L74" s="5"/>
      <c r="M74" s="5"/>
      <c r="N74" s="5" t="str">
        <f aca="false">IF(I74="","",I74-J74)</f>
        <v/>
      </c>
      <c r="O74" s="6" t="str">
        <f aca="false">IF(I74="","",I74/(I74+J74))</f>
        <v/>
      </c>
      <c r="P74" s="5"/>
      <c r="Q74" s="2"/>
      <c r="R74" s="2"/>
      <c r="S74" s="7" t="s">
        <v>147</v>
      </c>
    </row>
    <row r="75" customFormat="false" ht="15" hidden="false" customHeight="false" outlineLevel="0" collapsed="false">
      <c r="A75" s="2" t="s">
        <v>145</v>
      </c>
      <c r="B75" s="2" t="s">
        <v>148</v>
      </c>
      <c r="C75" s="2" t="s">
        <v>46</v>
      </c>
      <c r="D75" s="3" t="n">
        <v>1949</v>
      </c>
      <c r="E75" s="4"/>
      <c r="F75" s="5"/>
      <c r="G75" s="2" t="s">
        <v>22</v>
      </c>
      <c r="H75" s="2" t="s">
        <v>23</v>
      </c>
      <c r="I75" s="5"/>
      <c r="J75" s="5"/>
      <c r="K75" s="5"/>
      <c r="L75" s="5"/>
      <c r="M75" s="5"/>
      <c r="N75" s="5" t="str">
        <f aca="false">IF(I75="","",I75-J75)</f>
        <v/>
      </c>
      <c r="O75" s="6" t="str">
        <f aca="false">IF(I75="","",I75/(I75+J75))</f>
        <v/>
      </c>
      <c r="P75" s="5"/>
      <c r="Q75" s="2"/>
      <c r="R75" s="2"/>
      <c r="S75" s="7"/>
    </row>
    <row r="76" customFormat="false" ht="23.85" hidden="false" customHeight="false" outlineLevel="0" collapsed="false">
      <c r="A76" s="2" t="s">
        <v>145</v>
      </c>
      <c r="B76" s="2" t="s">
        <v>47</v>
      </c>
      <c r="C76" s="2" t="s">
        <v>46</v>
      </c>
      <c r="D76" s="3" t="n">
        <v>1950</v>
      </c>
      <c r="E76" s="4" t="n">
        <v>18526</v>
      </c>
      <c r="F76" s="5" t="n">
        <v>81</v>
      </c>
      <c r="G76" s="2" t="s">
        <v>22</v>
      </c>
      <c r="H76" s="2" t="s">
        <v>41</v>
      </c>
      <c r="I76" s="5" t="n">
        <v>57</v>
      </c>
      <c r="J76" s="5" t="n">
        <v>11</v>
      </c>
      <c r="K76" s="5" t="n">
        <v>0</v>
      </c>
      <c r="L76" s="5" t="n">
        <v>28</v>
      </c>
      <c r="M76" s="5"/>
      <c r="N76" s="5" t="n">
        <f aca="false">IF(I76="","",I76-J76)</f>
        <v>46</v>
      </c>
      <c r="O76" s="6" t="n">
        <f aca="false">IF(I76="","",I76/(I76+J76))</f>
        <v>0.838235294117647</v>
      </c>
      <c r="P76" s="5"/>
      <c r="Q76" s="2" t="s">
        <v>149</v>
      </c>
      <c r="R76" s="2" t="s">
        <v>50</v>
      </c>
      <c r="S76" s="7" t="s">
        <v>150</v>
      </c>
    </row>
    <row r="77" customFormat="false" ht="15" hidden="false" customHeight="false" outlineLevel="0" collapsed="false">
      <c r="A77" s="2" t="s">
        <v>145</v>
      </c>
      <c r="B77" s="2" t="s">
        <v>151</v>
      </c>
      <c r="C77" s="2" t="s">
        <v>46</v>
      </c>
      <c r="D77" s="3" t="n">
        <v>1951</v>
      </c>
      <c r="E77" s="4"/>
      <c r="F77" s="5"/>
      <c r="G77" s="2" t="s">
        <v>22</v>
      </c>
      <c r="H77" s="2" t="s">
        <v>23</v>
      </c>
      <c r="I77" s="5"/>
      <c r="J77" s="5"/>
      <c r="K77" s="5"/>
      <c r="L77" s="5"/>
      <c r="M77" s="5"/>
      <c r="N77" s="5" t="str">
        <f aca="false">IF(I77="","",I77-J77)</f>
        <v/>
      </c>
      <c r="O77" s="6" t="str">
        <f aca="false">IF(I77="","",I77/(I77+J77))</f>
        <v/>
      </c>
      <c r="P77" s="5"/>
      <c r="Q77" s="2"/>
      <c r="R77" s="2"/>
      <c r="S77" s="7"/>
    </row>
    <row r="78" customFormat="false" ht="15" hidden="false" customHeight="false" outlineLevel="0" collapsed="false">
      <c r="A78" s="2" t="s">
        <v>145</v>
      </c>
      <c r="B78" s="2" t="s">
        <v>152</v>
      </c>
      <c r="C78" s="2" t="s">
        <v>52</v>
      </c>
      <c r="D78" s="3" t="n">
        <v>1953</v>
      </c>
      <c r="E78" s="4" t="n">
        <v>19385</v>
      </c>
      <c r="F78" s="5" t="n">
        <v>83</v>
      </c>
      <c r="G78" s="2" t="s">
        <v>22</v>
      </c>
      <c r="H78" s="2" t="s">
        <v>41</v>
      </c>
      <c r="I78" s="5" t="n">
        <v>77</v>
      </c>
      <c r="J78" s="5" t="n">
        <v>6</v>
      </c>
      <c r="K78" s="5" t="n">
        <v>0</v>
      </c>
      <c r="L78" s="5" t="n">
        <v>13</v>
      </c>
      <c r="M78" s="5"/>
      <c r="N78" s="5" t="n">
        <f aca="false">IF(I78="","",I78-J78)</f>
        <v>71</v>
      </c>
      <c r="O78" s="6" t="n">
        <f aca="false">IF(I78="","",I78/(I78+J78))</f>
        <v>0.927710843373494</v>
      </c>
      <c r="P78" s="5"/>
      <c r="Q78" s="2" t="s">
        <v>153</v>
      </c>
      <c r="R78" s="2" t="s">
        <v>43</v>
      </c>
      <c r="S78" s="7"/>
    </row>
    <row r="79" customFormat="false" ht="15" hidden="false" customHeight="false" outlineLevel="0" collapsed="false">
      <c r="A79" s="2" t="s">
        <v>145</v>
      </c>
      <c r="B79" s="2" t="s">
        <v>154</v>
      </c>
      <c r="C79" s="2" t="s">
        <v>52</v>
      </c>
      <c r="D79" s="3" t="n">
        <v>1957</v>
      </c>
      <c r="E79" s="4"/>
      <c r="F79" s="5"/>
      <c r="G79" s="2" t="s">
        <v>22</v>
      </c>
      <c r="H79" s="2" t="s">
        <v>23</v>
      </c>
      <c r="I79" s="5"/>
      <c r="J79" s="5"/>
      <c r="K79" s="5"/>
      <c r="L79" s="5"/>
      <c r="M79" s="5"/>
      <c r="N79" s="5" t="str">
        <f aca="false">IF(I79="","",I79-J79)</f>
        <v/>
      </c>
      <c r="O79" s="6" t="str">
        <f aca="false">IF(I79="","",I79/(I79+J79))</f>
        <v/>
      </c>
      <c r="P79" s="5"/>
      <c r="Q79" s="2"/>
      <c r="R79" s="2"/>
      <c r="S79" s="7"/>
    </row>
    <row r="80" customFormat="false" ht="15" hidden="false" customHeight="false" outlineLevel="0" collapsed="false">
      <c r="A80" s="2" t="s">
        <v>145</v>
      </c>
      <c r="B80" s="2" t="s">
        <v>155</v>
      </c>
      <c r="C80" s="2" t="s">
        <v>52</v>
      </c>
      <c r="D80" s="3" t="n">
        <v>1959</v>
      </c>
      <c r="E80" s="4"/>
      <c r="F80" s="5"/>
      <c r="G80" s="2" t="s">
        <v>22</v>
      </c>
      <c r="H80" s="2" t="s">
        <v>23</v>
      </c>
      <c r="I80" s="5"/>
      <c r="J80" s="5"/>
      <c r="K80" s="5"/>
      <c r="L80" s="5"/>
      <c r="M80" s="5"/>
      <c r="N80" s="5" t="str">
        <f aca="false">IF(I80="","",I80-J80)</f>
        <v/>
      </c>
      <c r="O80" s="6" t="str">
        <f aca="false">IF(I80="","",I80/(I80+J80))</f>
        <v/>
      </c>
      <c r="P80" s="5"/>
      <c r="Q80" s="2"/>
      <c r="R80" s="2"/>
      <c r="S80" s="7"/>
    </row>
    <row r="81" customFormat="false" ht="15" hidden="false" customHeight="false" outlineLevel="0" collapsed="false">
      <c r="A81" s="2" t="s">
        <v>145</v>
      </c>
      <c r="B81" s="2" t="s">
        <v>156</v>
      </c>
      <c r="C81" s="2" t="s">
        <v>57</v>
      </c>
      <c r="D81" s="3" t="n">
        <v>1961</v>
      </c>
      <c r="E81" s="4"/>
      <c r="F81" s="5"/>
      <c r="G81" s="2" t="s">
        <v>22</v>
      </c>
      <c r="H81" s="2" t="s">
        <v>23</v>
      </c>
      <c r="I81" s="5"/>
      <c r="J81" s="5"/>
      <c r="K81" s="5"/>
      <c r="L81" s="5"/>
      <c r="M81" s="5"/>
      <c r="N81" s="5" t="str">
        <f aca="false">IF(I81="","",I81-J81)</f>
        <v/>
      </c>
      <c r="O81" s="6" t="str">
        <f aca="false">IF(I81="","",I81/(I81+J81))</f>
        <v/>
      </c>
      <c r="P81" s="5"/>
      <c r="Q81" s="2"/>
      <c r="R81" s="2"/>
      <c r="S81" s="7"/>
    </row>
    <row r="82" customFormat="false" ht="15" hidden="false" customHeight="false" outlineLevel="0" collapsed="false">
      <c r="A82" s="2" t="s">
        <v>145</v>
      </c>
      <c r="B82" s="2" t="s">
        <v>157</v>
      </c>
      <c r="C82" s="2" t="s">
        <v>116</v>
      </c>
      <c r="D82" s="3" t="n">
        <v>1968</v>
      </c>
      <c r="E82" s="4"/>
      <c r="F82" s="5"/>
      <c r="G82" s="2" t="s">
        <v>22</v>
      </c>
      <c r="H82" s="2" t="s">
        <v>23</v>
      </c>
      <c r="I82" s="5"/>
      <c r="J82" s="5"/>
      <c r="K82" s="5"/>
      <c r="L82" s="5"/>
      <c r="M82" s="5"/>
      <c r="N82" s="5" t="str">
        <f aca="false">IF(I82="","",I82-J82)</f>
        <v/>
      </c>
      <c r="O82" s="6" t="str">
        <f aca="false">IF(I82="","",I82/(I82+J82))</f>
        <v/>
      </c>
      <c r="P82" s="5"/>
      <c r="Q82" s="2"/>
      <c r="R82" s="2"/>
      <c r="S82" s="7"/>
    </row>
    <row r="83" customFormat="false" ht="15" hidden="false" customHeight="false" outlineLevel="0" collapsed="false">
      <c r="A83" s="2" t="s">
        <v>145</v>
      </c>
      <c r="B83" s="2" t="s">
        <v>158</v>
      </c>
      <c r="C83" s="2" t="s">
        <v>59</v>
      </c>
      <c r="D83" s="3" t="n">
        <v>1969</v>
      </c>
      <c r="E83" s="4"/>
      <c r="F83" s="5"/>
      <c r="G83" s="2" t="s">
        <v>22</v>
      </c>
      <c r="H83" s="2" t="s">
        <v>23</v>
      </c>
      <c r="I83" s="5"/>
      <c r="J83" s="5"/>
      <c r="K83" s="5"/>
      <c r="L83" s="5"/>
      <c r="M83" s="5"/>
      <c r="N83" s="5" t="str">
        <f aca="false">IF(I83="","",I83-J83)</f>
        <v/>
      </c>
      <c r="O83" s="6" t="str">
        <f aca="false">IF(I83="","",I83/(I83+J83))</f>
        <v/>
      </c>
      <c r="P83" s="5"/>
      <c r="Q83" s="2"/>
      <c r="R83" s="2"/>
      <c r="S83" s="7"/>
    </row>
    <row r="84" customFormat="false" ht="15" hidden="false" customHeight="false" outlineLevel="0" collapsed="false">
      <c r="A84" s="2" t="s">
        <v>145</v>
      </c>
      <c r="B84" s="2" t="s">
        <v>159</v>
      </c>
      <c r="C84" s="2" t="s">
        <v>59</v>
      </c>
      <c r="D84" s="3" t="n">
        <v>1973</v>
      </c>
      <c r="E84" s="4" t="n">
        <v>26693</v>
      </c>
      <c r="F84" s="5" t="n">
        <v>93</v>
      </c>
      <c r="G84" s="2" t="s">
        <v>22</v>
      </c>
      <c r="H84" s="2" t="s">
        <v>41</v>
      </c>
      <c r="I84" s="5" t="n">
        <v>81</v>
      </c>
      <c r="J84" s="5" t="n">
        <v>1</v>
      </c>
      <c r="K84" s="5" t="n">
        <v>0</v>
      </c>
      <c r="L84" s="5" t="n">
        <v>18</v>
      </c>
      <c r="M84" s="5"/>
      <c r="N84" s="5" t="n">
        <f aca="false">IF(I84="","",I84-J84)</f>
        <v>80</v>
      </c>
      <c r="O84" s="6" t="n">
        <f aca="false">IF(I84="","",I84/(I84+J84))</f>
        <v>0.987804878048781</v>
      </c>
      <c r="P84" s="5"/>
      <c r="Q84" s="2" t="s">
        <v>160</v>
      </c>
      <c r="R84" s="2" t="s">
        <v>43</v>
      </c>
      <c r="S84" s="7"/>
    </row>
    <row r="85" customFormat="false" ht="15" hidden="false" customHeight="false" outlineLevel="0" collapsed="false">
      <c r="A85" s="2" t="s">
        <v>145</v>
      </c>
      <c r="B85" s="2" t="s">
        <v>161</v>
      </c>
      <c r="C85" s="2" t="s">
        <v>59</v>
      </c>
      <c r="D85" s="3" t="n">
        <v>1973</v>
      </c>
      <c r="E85" s="4" t="n">
        <v>26843</v>
      </c>
      <c r="F85" s="5" t="n">
        <v>93</v>
      </c>
      <c r="G85" s="2" t="s">
        <v>22</v>
      </c>
      <c r="H85" s="2" t="s">
        <v>41</v>
      </c>
      <c r="I85" s="5" t="n">
        <v>91</v>
      </c>
      <c r="J85" s="5" t="n">
        <v>0</v>
      </c>
      <c r="K85" s="5" t="n">
        <v>0</v>
      </c>
      <c r="L85" s="5" t="n">
        <v>9</v>
      </c>
      <c r="M85" s="5"/>
      <c r="N85" s="5" t="n">
        <f aca="false">IF(I85="","",I85-J85)</f>
        <v>91</v>
      </c>
      <c r="O85" s="6" t="n">
        <f aca="false">IF(I85="","",I85/(I85+J85))</f>
        <v>1</v>
      </c>
      <c r="P85" s="5"/>
      <c r="Q85" s="2" t="s">
        <v>162</v>
      </c>
      <c r="R85" s="2" t="s">
        <v>43</v>
      </c>
      <c r="S85" s="7"/>
    </row>
    <row r="86" customFormat="false" ht="15" hidden="false" customHeight="false" outlineLevel="0" collapsed="false">
      <c r="A86" s="2" t="s">
        <v>145</v>
      </c>
      <c r="B86" s="2" t="s">
        <v>163</v>
      </c>
      <c r="C86" s="2" t="s">
        <v>164</v>
      </c>
      <c r="D86" s="3" t="n">
        <v>1975</v>
      </c>
      <c r="E86" s="4" t="n">
        <v>27716</v>
      </c>
      <c r="F86" s="5" t="n">
        <v>94</v>
      </c>
      <c r="G86" s="2" t="s">
        <v>22</v>
      </c>
      <c r="H86" s="2" t="s">
        <v>41</v>
      </c>
      <c r="I86" s="5" t="n">
        <v>95</v>
      </c>
      <c r="J86" s="5" t="n">
        <v>2</v>
      </c>
      <c r="K86" s="5" t="n">
        <v>0</v>
      </c>
      <c r="L86" s="5" t="n">
        <v>3</v>
      </c>
      <c r="M86" s="5"/>
      <c r="N86" s="5" t="n">
        <f aca="false">IF(I86="","",I86-J86)</f>
        <v>93</v>
      </c>
      <c r="O86" s="6" t="n">
        <f aca="false">IF(I86="","",I86/(I86+J86))</f>
        <v>0.979381443298969</v>
      </c>
      <c r="P86" s="5"/>
      <c r="Q86" s="2" t="s">
        <v>165</v>
      </c>
      <c r="R86" s="2" t="s">
        <v>43</v>
      </c>
      <c r="S86" s="7"/>
    </row>
    <row r="87" customFormat="false" ht="15" hidden="false" customHeight="false" outlineLevel="0" collapsed="false">
      <c r="A87" s="2" t="s">
        <v>145</v>
      </c>
      <c r="B87" s="2" t="s">
        <v>166</v>
      </c>
      <c r="C87" s="2" t="s">
        <v>63</v>
      </c>
      <c r="D87" s="3" t="n">
        <v>1977</v>
      </c>
      <c r="E87" s="4" t="n">
        <v>28145</v>
      </c>
      <c r="F87" s="5" t="n">
        <v>95</v>
      </c>
      <c r="G87" s="2" t="s">
        <v>22</v>
      </c>
      <c r="H87" s="2" t="s">
        <v>64</v>
      </c>
      <c r="I87" s="5"/>
      <c r="J87" s="5"/>
      <c r="K87" s="5"/>
      <c r="L87" s="5"/>
      <c r="M87" s="5"/>
      <c r="N87" s="5" t="str">
        <f aca="false">IF(I87="","",I87-J87)</f>
        <v/>
      </c>
      <c r="O87" s="6" t="str">
        <f aca="false">IF(I87="","",I87/(I87+J87))</f>
        <v/>
      </c>
      <c r="P87" s="5"/>
      <c r="Q87" s="2"/>
      <c r="R87" s="2"/>
      <c r="S87" s="7"/>
    </row>
    <row r="88" customFormat="false" ht="15" hidden="false" customHeight="false" outlineLevel="0" collapsed="false">
      <c r="A88" s="2" t="s">
        <v>145</v>
      </c>
      <c r="B88" s="2" t="s">
        <v>167</v>
      </c>
      <c r="C88" s="2" t="s">
        <v>69</v>
      </c>
      <c r="D88" s="3" t="n">
        <v>1981</v>
      </c>
      <c r="E88" s="4" t="n">
        <v>29606</v>
      </c>
      <c r="F88" s="5" t="n">
        <v>97</v>
      </c>
      <c r="G88" s="2" t="s">
        <v>22</v>
      </c>
      <c r="H88" s="2" t="s">
        <v>41</v>
      </c>
      <c r="I88" s="5" t="n">
        <v>97</v>
      </c>
      <c r="J88" s="5" t="n">
        <v>2</v>
      </c>
      <c r="K88" s="5" t="n">
        <v>0</v>
      </c>
      <c r="L88" s="5" t="n">
        <v>1</v>
      </c>
      <c r="M88" s="5"/>
      <c r="N88" s="5" t="n">
        <f aca="false">IF(I88="","",I88-J88)</f>
        <v>95</v>
      </c>
      <c r="O88" s="6" t="n">
        <f aca="false">IF(I88="","",I88/(I88+J88))</f>
        <v>0.97979797979798</v>
      </c>
      <c r="P88" s="5" t="n">
        <v>1</v>
      </c>
      <c r="Q88" s="2" t="s">
        <v>168</v>
      </c>
      <c r="R88" s="2" t="s">
        <v>43</v>
      </c>
      <c r="S88" s="7"/>
    </row>
    <row r="89" customFormat="false" ht="15" hidden="false" customHeight="false" outlineLevel="0" collapsed="false">
      <c r="A89" s="2" t="s">
        <v>145</v>
      </c>
      <c r="B89" s="2" t="s">
        <v>169</v>
      </c>
      <c r="C89" s="2" t="s">
        <v>69</v>
      </c>
      <c r="D89" s="3" t="n">
        <v>1987</v>
      </c>
      <c r="E89" s="4" t="n">
        <v>32101</v>
      </c>
      <c r="F89" s="5" t="n">
        <v>100</v>
      </c>
      <c r="G89" s="2" t="s">
        <v>22</v>
      </c>
      <c r="H89" s="2" t="s">
        <v>41</v>
      </c>
      <c r="I89" s="5" t="n">
        <v>91</v>
      </c>
      <c r="J89" s="5" t="n">
        <v>1</v>
      </c>
      <c r="K89" s="5" t="n">
        <v>0</v>
      </c>
      <c r="L89" s="5" t="n">
        <v>8</v>
      </c>
      <c r="M89" s="5"/>
      <c r="N89" s="5" t="n">
        <f aca="false">IF(I89="","",I89-J89)</f>
        <v>90</v>
      </c>
      <c r="O89" s="6" t="n">
        <f aca="false">IF(I89="","",I89/(I89+J89))</f>
        <v>0.989130434782609</v>
      </c>
      <c r="P89" s="5" t="n">
        <v>385</v>
      </c>
      <c r="Q89" s="2" t="s">
        <v>170</v>
      </c>
      <c r="R89" s="2" t="s">
        <v>43</v>
      </c>
      <c r="S89" s="7"/>
    </row>
    <row r="90" customFormat="false" ht="15" hidden="false" customHeight="false" outlineLevel="0" collapsed="false">
      <c r="A90" s="2" t="s">
        <v>145</v>
      </c>
      <c r="B90" s="2" t="s">
        <v>171</v>
      </c>
      <c r="C90" s="2" t="s">
        <v>75</v>
      </c>
      <c r="D90" s="3" t="n">
        <v>1989</v>
      </c>
      <c r="E90" s="4" t="n">
        <v>32576</v>
      </c>
      <c r="F90" s="5" t="n">
        <v>101</v>
      </c>
      <c r="G90" s="2" t="s">
        <v>172</v>
      </c>
      <c r="H90" s="2" t="s">
        <v>41</v>
      </c>
      <c r="I90" s="5" t="n">
        <v>47</v>
      </c>
      <c r="J90" s="5" t="n">
        <v>53</v>
      </c>
      <c r="K90" s="5" t="n">
        <v>0</v>
      </c>
      <c r="L90" s="5" t="n">
        <v>0</v>
      </c>
      <c r="M90" s="5"/>
      <c r="N90" s="5" t="n">
        <f aca="false">IF(I90="","",I90-J90)</f>
        <v>-6</v>
      </c>
      <c r="O90" s="6" t="n">
        <f aca="false">IF(I90="","",I90/(I90+J90))</f>
        <v>0.47</v>
      </c>
      <c r="P90" s="5" t="n">
        <v>20</v>
      </c>
      <c r="Q90" s="2"/>
      <c r="R90" s="2" t="s">
        <v>76</v>
      </c>
      <c r="S90" s="7" t="s">
        <v>173</v>
      </c>
    </row>
    <row r="91" customFormat="false" ht="15" hidden="false" customHeight="false" outlineLevel="0" collapsed="false">
      <c r="A91" s="2" t="s">
        <v>145</v>
      </c>
      <c r="B91" s="2" t="s">
        <v>174</v>
      </c>
      <c r="C91" s="2" t="s">
        <v>75</v>
      </c>
      <c r="D91" s="3" t="n">
        <v>1989</v>
      </c>
      <c r="E91" s="4" t="n">
        <v>32584</v>
      </c>
      <c r="F91" s="5" t="n">
        <v>101</v>
      </c>
      <c r="G91" s="2" t="s">
        <v>22</v>
      </c>
      <c r="H91" s="2" t="s">
        <v>41</v>
      </c>
      <c r="I91" s="5" t="n">
        <v>92</v>
      </c>
      <c r="J91" s="5" t="n">
        <v>0</v>
      </c>
      <c r="K91" s="5" t="n">
        <v>0</v>
      </c>
      <c r="L91" s="5" t="n">
        <v>8</v>
      </c>
      <c r="M91" s="5"/>
      <c r="N91" s="5" t="n">
        <f aca="false">IF(I91="","",I91-J91)</f>
        <v>92</v>
      </c>
      <c r="O91" s="6" t="n">
        <f aca="false">IF(I91="","",I91/(I91+J91))</f>
        <v>1</v>
      </c>
      <c r="P91" s="5" t="n">
        <v>26</v>
      </c>
      <c r="Q91" s="2"/>
      <c r="R91" s="2" t="s">
        <v>76</v>
      </c>
      <c r="S91" s="7"/>
    </row>
    <row r="92" customFormat="false" ht="15" hidden="false" customHeight="false" outlineLevel="0" collapsed="false">
      <c r="A92" s="2" t="s">
        <v>145</v>
      </c>
      <c r="B92" s="2" t="s">
        <v>175</v>
      </c>
      <c r="C92" s="2" t="s">
        <v>82</v>
      </c>
      <c r="D92" s="3" t="n">
        <v>1993</v>
      </c>
      <c r="E92" s="4" t="n">
        <v>33989</v>
      </c>
      <c r="F92" s="5" t="n">
        <v>103</v>
      </c>
      <c r="G92" s="2" t="s">
        <v>22</v>
      </c>
      <c r="H92" s="2" t="s">
        <v>64</v>
      </c>
      <c r="I92" s="5"/>
      <c r="J92" s="5"/>
      <c r="K92" s="5"/>
      <c r="L92" s="5"/>
      <c r="M92" s="5"/>
      <c r="N92" s="5" t="str">
        <f aca="false">IF(I92="","",I92-J92)</f>
        <v/>
      </c>
      <c r="O92" s="6" t="str">
        <f aca="false">IF(I92="","",I92/(I92+J92))</f>
        <v/>
      </c>
      <c r="P92" s="5"/>
      <c r="Q92" s="2"/>
      <c r="R92" s="2"/>
      <c r="S92" s="7"/>
    </row>
    <row r="93" customFormat="false" ht="15" hidden="false" customHeight="false" outlineLevel="0" collapsed="false">
      <c r="A93" s="2" t="s">
        <v>145</v>
      </c>
      <c r="B93" s="2" t="s">
        <v>176</v>
      </c>
      <c r="C93" s="2" t="s">
        <v>82</v>
      </c>
      <c r="D93" s="3" t="n">
        <v>1994</v>
      </c>
      <c r="E93" s="4" t="n">
        <v>34368</v>
      </c>
      <c r="F93" s="5" t="n">
        <v>103</v>
      </c>
      <c r="G93" s="2" t="s">
        <v>22</v>
      </c>
      <c r="H93" s="2" t="s">
        <v>41</v>
      </c>
      <c r="I93" s="5" t="n">
        <v>97</v>
      </c>
      <c r="J93" s="5" t="n">
        <v>0</v>
      </c>
      <c r="K93" s="5" t="n">
        <v>0</v>
      </c>
      <c r="L93" s="5" t="n">
        <v>3</v>
      </c>
      <c r="M93" s="5"/>
      <c r="N93" s="5" t="n">
        <f aca="false">IF(I93="","",I93-J93)</f>
        <v>97</v>
      </c>
      <c r="O93" s="6" t="n">
        <f aca="false">IF(I93="","",I93/(I93+J93))</f>
        <v>1</v>
      </c>
      <c r="P93" s="5" t="n">
        <v>23</v>
      </c>
      <c r="Q93" s="2"/>
      <c r="R93" s="2" t="s">
        <v>76</v>
      </c>
      <c r="S93" s="7"/>
    </row>
    <row r="94" customFormat="false" ht="15" hidden="false" customHeight="false" outlineLevel="0" collapsed="false">
      <c r="A94" s="2" t="s">
        <v>145</v>
      </c>
      <c r="B94" s="2" t="s">
        <v>177</v>
      </c>
      <c r="C94" s="2" t="s">
        <v>82</v>
      </c>
      <c r="D94" s="3" t="n">
        <v>1997</v>
      </c>
      <c r="E94" s="4" t="n">
        <v>35452</v>
      </c>
      <c r="F94" s="5" t="n">
        <v>105</v>
      </c>
      <c r="G94" s="2" t="s">
        <v>22</v>
      </c>
      <c r="H94" s="2" t="s">
        <v>41</v>
      </c>
      <c r="I94" s="5" t="n">
        <v>99</v>
      </c>
      <c r="J94" s="5" t="n">
        <v>0</v>
      </c>
      <c r="K94" s="5" t="n">
        <v>0</v>
      </c>
      <c r="L94" s="5" t="n">
        <v>1</v>
      </c>
      <c r="M94" s="5"/>
      <c r="N94" s="5" t="n">
        <f aca="false">IF(I94="","",I94-J94)</f>
        <v>99</v>
      </c>
      <c r="O94" s="6" t="n">
        <f aca="false">IF(I94="","",I94/(I94+J94))</f>
        <v>1</v>
      </c>
      <c r="P94" s="5" t="n">
        <v>2</v>
      </c>
      <c r="Q94" s="2"/>
      <c r="R94" s="2" t="s">
        <v>76</v>
      </c>
      <c r="S94" s="7"/>
    </row>
    <row r="95" customFormat="false" ht="15" hidden="false" customHeight="false" outlineLevel="0" collapsed="false">
      <c r="A95" s="2" t="s">
        <v>145</v>
      </c>
      <c r="B95" s="2" t="s">
        <v>163</v>
      </c>
      <c r="C95" s="2" t="s">
        <v>85</v>
      </c>
      <c r="D95" s="3" t="n">
        <v>2001</v>
      </c>
      <c r="E95" s="4" t="n">
        <v>36911</v>
      </c>
      <c r="F95" s="5" t="n">
        <v>107</v>
      </c>
      <c r="G95" s="2" t="s">
        <v>22</v>
      </c>
      <c r="H95" s="2" t="s">
        <v>64</v>
      </c>
      <c r="I95" s="5"/>
      <c r="J95" s="5"/>
      <c r="K95" s="5"/>
      <c r="L95" s="5"/>
      <c r="M95" s="5"/>
      <c r="N95" s="5" t="str">
        <f aca="false">IF(I95="","",I95-J95)</f>
        <v/>
      </c>
      <c r="O95" s="6" t="str">
        <f aca="false">IF(I95="","",I95/(I95+J95))</f>
        <v/>
      </c>
      <c r="P95" s="5"/>
      <c r="Q95" s="2"/>
      <c r="R95" s="2"/>
      <c r="S95" s="7"/>
    </row>
    <row r="96" customFormat="false" ht="15" hidden="false" customHeight="false" outlineLevel="0" collapsed="false">
      <c r="A96" s="2" t="s">
        <v>145</v>
      </c>
      <c r="B96" s="2" t="s">
        <v>178</v>
      </c>
      <c r="C96" s="2" t="s">
        <v>85</v>
      </c>
      <c r="D96" s="3" t="n">
        <v>2006</v>
      </c>
      <c r="E96" s="4" t="n">
        <v>39057</v>
      </c>
      <c r="F96" s="5" t="n">
        <v>109</v>
      </c>
      <c r="G96" s="2" t="s">
        <v>22</v>
      </c>
      <c r="H96" s="2" t="s">
        <v>41</v>
      </c>
      <c r="I96" s="5" t="n">
        <v>95</v>
      </c>
      <c r="J96" s="5" t="n">
        <v>2</v>
      </c>
      <c r="K96" s="5" t="n">
        <v>0</v>
      </c>
      <c r="L96" s="5" t="n">
        <v>3</v>
      </c>
      <c r="M96" s="5"/>
      <c r="N96" s="5" t="n">
        <f aca="false">IF(I96="","",I96-J96)</f>
        <v>93</v>
      </c>
      <c r="O96" s="6" t="n">
        <f aca="false">IF(I96="","",I96/(I96+J96))</f>
        <v>0.979381443298969</v>
      </c>
      <c r="P96" s="5" t="n">
        <v>272</v>
      </c>
      <c r="Q96" s="2"/>
      <c r="R96" s="2" t="s">
        <v>76</v>
      </c>
      <c r="S96" s="7" t="s">
        <v>179</v>
      </c>
    </row>
    <row r="97" customFormat="false" ht="15" hidden="false" customHeight="false" outlineLevel="0" collapsed="false">
      <c r="A97" s="2" t="s">
        <v>145</v>
      </c>
      <c r="B97" s="2" t="s">
        <v>180</v>
      </c>
      <c r="C97" s="2" t="s">
        <v>88</v>
      </c>
      <c r="D97" s="3" t="n">
        <v>2011</v>
      </c>
      <c r="E97" s="4" t="n">
        <v>40715</v>
      </c>
      <c r="F97" s="5" t="n">
        <v>112</v>
      </c>
      <c r="G97" s="2" t="s">
        <v>22</v>
      </c>
      <c r="H97" s="2" t="s">
        <v>41</v>
      </c>
      <c r="I97" s="5" t="n">
        <v>100</v>
      </c>
      <c r="J97" s="5" t="n">
        <v>0</v>
      </c>
      <c r="K97" s="5" t="n">
        <v>0</v>
      </c>
      <c r="L97" s="5" t="n">
        <v>0</v>
      </c>
      <c r="M97" s="5"/>
      <c r="N97" s="5" t="n">
        <f aca="false">IF(I97="","",I97-J97)</f>
        <v>100</v>
      </c>
      <c r="O97" s="6" t="n">
        <f aca="false">IF(I97="","",I97/(I97+J97))</f>
        <v>1</v>
      </c>
      <c r="P97" s="5" t="n">
        <v>93</v>
      </c>
      <c r="Q97" s="2"/>
      <c r="R97" s="2" t="s">
        <v>76</v>
      </c>
      <c r="S97" s="7"/>
    </row>
    <row r="98" customFormat="false" ht="15" hidden="false" customHeight="false" outlineLevel="0" collapsed="false">
      <c r="A98" s="2" t="s">
        <v>145</v>
      </c>
      <c r="B98" s="2" t="s">
        <v>181</v>
      </c>
      <c r="C98" s="2" t="s">
        <v>88</v>
      </c>
      <c r="D98" s="3" t="n">
        <v>2013</v>
      </c>
      <c r="E98" s="4" t="n">
        <v>41331</v>
      </c>
      <c r="F98" s="5" t="n">
        <v>113</v>
      </c>
      <c r="G98" s="2" t="s">
        <v>22</v>
      </c>
      <c r="H98" s="2" t="s">
        <v>41</v>
      </c>
      <c r="I98" s="5" t="n">
        <v>58</v>
      </c>
      <c r="J98" s="5" t="n">
        <v>41</v>
      </c>
      <c r="K98" s="5" t="n">
        <v>0</v>
      </c>
      <c r="L98" s="5" t="n">
        <v>1</v>
      </c>
      <c r="M98" s="5"/>
      <c r="N98" s="5" t="n">
        <f aca="false">IF(I98="","",I98-J98)</f>
        <v>17</v>
      </c>
      <c r="O98" s="6" t="n">
        <f aca="false">IF(I98="","",I98/(I98+J98))</f>
        <v>0.585858585858586</v>
      </c>
      <c r="P98" s="5" t="n">
        <v>24</v>
      </c>
      <c r="Q98" s="2"/>
      <c r="R98" s="2" t="s">
        <v>76</v>
      </c>
      <c r="S98" s="7"/>
    </row>
    <row r="99" customFormat="false" ht="15" hidden="false" customHeight="false" outlineLevel="0" collapsed="false">
      <c r="A99" s="2" t="s">
        <v>145</v>
      </c>
      <c r="B99" s="2" t="s">
        <v>182</v>
      </c>
      <c r="C99" s="2" t="s">
        <v>88</v>
      </c>
      <c r="D99" s="3" t="n">
        <v>2015</v>
      </c>
      <c r="E99" s="4" t="n">
        <v>42047</v>
      </c>
      <c r="F99" s="5" t="n">
        <v>114</v>
      </c>
      <c r="G99" s="2" t="s">
        <v>22</v>
      </c>
      <c r="H99" s="2" t="s">
        <v>41</v>
      </c>
      <c r="I99" s="5" t="n">
        <v>93</v>
      </c>
      <c r="J99" s="5" t="n">
        <v>5</v>
      </c>
      <c r="K99" s="5" t="n">
        <v>0</v>
      </c>
      <c r="L99" s="5" t="n">
        <v>2</v>
      </c>
      <c r="M99" s="5"/>
      <c r="N99" s="5" t="n">
        <f aca="false">IF(I99="","",I99-J99)</f>
        <v>88</v>
      </c>
      <c r="O99" s="6" t="n">
        <f aca="false">IF(I99="","",I99/(I99+J99))</f>
        <v>0.948979591836735</v>
      </c>
      <c r="P99" s="5" t="n">
        <v>56</v>
      </c>
      <c r="Q99" s="2"/>
      <c r="R99" s="2" t="s">
        <v>76</v>
      </c>
      <c r="S99" s="7"/>
    </row>
    <row r="100" customFormat="false" ht="15" hidden="false" customHeight="false" outlineLevel="0" collapsed="false">
      <c r="A100" s="2" t="s">
        <v>145</v>
      </c>
      <c r="B100" s="2" t="s">
        <v>183</v>
      </c>
      <c r="C100" s="2" t="s">
        <v>93</v>
      </c>
      <c r="D100" s="3" t="n">
        <v>2017</v>
      </c>
      <c r="E100" s="4" t="n">
        <v>42755</v>
      </c>
      <c r="F100" s="5" t="n">
        <v>115</v>
      </c>
      <c r="G100" s="2" t="s">
        <v>22</v>
      </c>
      <c r="H100" s="2" t="s">
        <v>41</v>
      </c>
      <c r="I100" s="5" t="n">
        <v>98</v>
      </c>
      <c r="J100" s="5" t="n">
        <v>1</v>
      </c>
      <c r="K100" s="5" t="n">
        <v>0</v>
      </c>
      <c r="L100" s="5" t="n">
        <v>1</v>
      </c>
      <c r="M100" s="5"/>
      <c r="N100" s="5" t="n">
        <f aca="false">IF(I100="","",I100-J100)</f>
        <v>97</v>
      </c>
      <c r="O100" s="6" t="n">
        <f aca="false">IF(I100="","",I100/(I100+J100))</f>
        <v>0.98989898989899</v>
      </c>
      <c r="P100" s="5" t="n">
        <v>29</v>
      </c>
      <c r="Q100" s="2" t="s">
        <v>184</v>
      </c>
      <c r="R100" s="2" t="s">
        <v>76</v>
      </c>
      <c r="S100" s="7" t="s">
        <v>185</v>
      </c>
    </row>
    <row r="101" customFormat="false" ht="15" hidden="false" customHeight="false" outlineLevel="0" collapsed="false">
      <c r="A101" s="2" t="s">
        <v>145</v>
      </c>
      <c r="B101" s="2" t="s">
        <v>186</v>
      </c>
      <c r="C101" s="2" t="s">
        <v>93</v>
      </c>
      <c r="D101" s="3" t="n">
        <v>2019</v>
      </c>
      <c r="E101" s="4" t="n">
        <v>43634</v>
      </c>
      <c r="F101" s="5" t="n">
        <v>116</v>
      </c>
      <c r="G101" s="2" t="s">
        <v>187</v>
      </c>
      <c r="H101" s="2" t="s">
        <v>79</v>
      </c>
      <c r="I101" s="5"/>
      <c r="J101" s="5"/>
      <c r="K101" s="5"/>
      <c r="L101" s="5"/>
      <c r="M101" s="5"/>
      <c r="N101" s="5" t="str">
        <f aca="false">IF(I101="","",I101-J101)</f>
        <v/>
      </c>
      <c r="O101" s="6" t="str">
        <f aca="false">IF(I101="","",I101/(I101+J101))</f>
        <v/>
      </c>
      <c r="P101" s="5"/>
      <c r="Q101" s="2"/>
      <c r="R101" s="2"/>
      <c r="S101" s="7" t="s">
        <v>188</v>
      </c>
    </row>
    <row r="102" customFormat="false" ht="15" hidden="false" customHeight="false" outlineLevel="0" collapsed="false">
      <c r="A102" s="2" t="s">
        <v>145</v>
      </c>
      <c r="B102" s="2" t="s">
        <v>189</v>
      </c>
      <c r="C102" s="2" t="s">
        <v>93</v>
      </c>
      <c r="D102" s="3" t="n">
        <v>2019</v>
      </c>
      <c r="E102" s="4" t="n">
        <v>43669</v>
      </c>
      <c r="F102" s="5" t="n">
        <v>116</v>
      </c>
      <c r="G102" s="2" t="s">
        <v>22</v>
      </c>
      <c r="H102" s="2" t="s">
        <v>41</v>
      </c>
      <c r="I102" s="5" t="n">
        <v>90</v>
      </c>
      <c r="J102" s="5" t="n">
        <v>8</v>
      </c>
      <c r="K102" s="5" t="n">
        <v>0</v>
      </c>
      <c r="L102" s="5" t="n">
        <v>2</v>
      </c>
      <c r="M102" s="5"/>
      <c r="N102" s="5" t="n">
        <f aca="false">IF(I102="","",I102-J102)</f>
        <v>82</v>
      </c>
      <c r="O102" s="6" t="n">
        <f aca="false">IF(I102="","",I102/(I102+J102))</f>
        <v>0.918367346938776</v>
      </c>
      <c r="P102" s="5" t="n">
        <v>220</v>
      </c>
      <c r="Q102" s="2"/>
      <c r="R102" s="2" t="s">
        <v>76</v>
      </c>
      <c r="S102" s="7"/>
    </row>
    <row r="103" customFormat="false" ht="15" hidden="false" customHeight="false" outlineLevel="0" collapsed="false">
      <c r="A103" s="2" t="s">
        <v>145</v>
      </c>
      <c r="B103" s="2" t="s">
        <v>190</v>
      </c>
      <c r="C103" s="2" t="s">
        <v>96</v>
      </c>
      <c r="D103" s="3" t="n">
        <v>2021</v>
      </c>
      <c r="E103" s="4" t="n">
        <v>44218</v>
      </c>
      <c r="F103" s="5" t="n">
        <v>117</v>
      </c>
      <c r="G103" s="2" t="s">
        <v>22</v>
      </c>
      <c r="H103" s="2" t="s">
        <v>41</v>
      </c>
      <c r="I103" s="5" t="n">
        <v>93</v>
      </c>
      <c r="J103" s="5" t="n">
        <v>2</v>
      </c>
      <c r="K103" s="5" t="n">
        <v>0</v>
      </c>
      <c r="L103" s="5" t="n">
        <v>5</v>
      </c>
      <c r="M103" s="5"/>
      <c r="N103" s="5" t="n">
        <f aca="false">IF(I103="","",I103-J103)</f>
        <v>91</v>
      </c>
      <c r="O103" s="6" t="n">
        <f aca="false">IF(I103="","",I103/(I103+J103))</f>
        <v>0.978947368421053</v>
      </c>
      <c r="P103" s="5" t="n">
        <v>5</v>
      </c>
      <c r="Q103" s="2"/>
      <c r="R103" s="2" t="s">
        <v>76</v>
      </c>
      <c r="S103" s="7" t="s">
        <v>185</v>
      </c>
    </row>
    <row r="104" customFormat="false" ht="23.85" hidden="false" customHeight="false" outlineLevel="0" collapsed="false">
      <c r="A104" s="2" t="s">
        <v>145</v>
      </c>
      <c r="B104" s="2" t="s">
        <v>191</v>
      </c>
      <c r="C104" s="2" t="s">
        <v>93</v>
      </c>
      <c r="D104" s="3" t="n">
        <v>2025</v>
      </c>
      <c r="E104" s="4" t="n">
        <v>45681</v>
      </c>
      <c r="F104" s="5" t="n">
        <v>119</v>
      </c>
      <c r="G104" s="2" t="s">
        <v>22</v>
      </c>
      <c r="H104" s="2" t="s">
        <v>41</v>
      </c>
      <c r="I104" s="5" t="n">
        <v>50</v>
      </c>
      <c r="J104" s="5" t="n">
        <v>50</v>
      </c>
      <c r="K104" s="5" t="n">
        <v>0</v>
      </c>
      <c r="L104" s="5" t="n">
        <v>0</v>
      </c>
      <c r="M104" s="5" t="s">
        <v>192</v>
      </c>
      <c r="N104" s="5" t="n">
        <f aca="false">IF(I104="","",I104-J104)</f>
        <v>0</v>
      </c>
      <c r="O104" s="6" t="n">
        <f aca="false">IF(I104="","",I104/(I104+J104))</f>
        <v>0.5</v>
      </c>
      <c r="P104" s="5" t="n">
        <v>15</v>
      </c>
      <c r="Q104" s="2"/>
      <c r="R104" s="2" t="s">
        <v>76</v>
      </c>
      <c r="S104" s="7" t="s">
        <v>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2"/>
    <col collapsed="false" customWidth="true" hidden="false" outlineLevel="0" max="6" min="6" style="0" width="14"/>
    <col collapsed="false" customWidth="true" hidden="false" outlineLevel="0" max="8" min="7" style="0" width="12"/>
  </cols>
  <sheetData>
    <row r="1" customFormat="false" ht="31.5" hidden="false" customHeight="true" outlineLevel="0" collapsed="false">
      <c r="A1" s="8" t="s">
        <v>0</v>
      </c>
      <c r="B1" s="8" t="s">
        <v>194</v>
      </c>
      <c r="C1" s="8" t="s">
        <v>195</v>
      </c>
      <c r="D1" s="8" t="s">
        <v>196</v>
      </c>
      <c r="E1" s="8" t="s">
        <v>197</v>
      </c>
      <c r="F1" s="8" t="s">
        <v>198</v>
      </c>
      <c r="G1" s="8" t="s">
        <v>199</v>
      </c>
      <c r="H1" s="8" t="s">
        <v>200</v>
      </c>
    </row>
    <row r="2" customFormat="false" ht="15" hidden="false" customHeight="false" outlineLevel="0" collapsed="false">
      <c r="A2" s="9" t="s">
        <v>19</v>
      </c>
      <c r="B2" s="9" t="n">
        <f aca="false">COUNTIFS(Votes!$A:$A,A2)</f>
        <v>35</v>
      </c>
      <c r="C2" s="9" t="n">
        <f aca="false">COUNTIFS(Votes!$A:$A,A2,Votes!$H:$H,"Roll call")</f>
        <v>16</v>
      </c>
      <c r="D2" s="10" t="n">
        <f aca="false">IF(B2=0,"",C2/B2)</f>
        <v>0.457142857142857</v>
      </c>
      <c r="E2" s="9" t="n">
        <f aca="false">COUNTIFS(Votes!$A:$A,A2,Votes!$J:$J,"&gt;=10")</f>
        <v>4</v>
      </c>
      <c r="F2" s="10" t="n">
        <f aca="false">IFERROR(AVERAGEIFS(Votes!$O:$O,Votes!$A:$A,A2,Votes!$H:$H,"Roll call"),"")</f>
        <v>0.90570619329554</v>
      </c>
      <c r="G2" s="9" t="n">
        <f aca="false">SUMIFS(Votes!$J:$J,Votes!$A:$A,A2)</f>
        <v>147</v>
      </c>
      <c r="H2" s="9" t="s">
        <v>201</v>
      </c>
    </row>
    <row r="3" customFormat="false" ht="15" hidden="false" customHeight="false" outlineLevel="0" collapsed="false">
      <c r="A3" s="9" t="s">
        <v>99</v>
      </c>
      <c r="B3" s="9" t="n">
        <f aca="false">COUNTIFS(Votes!$A:$A,A3)</f>
        <v>37</v>
      </c>
      <c r="C3" s="9" t="n">
        <f aca="false">COUNTIFS(Votes!$A:$A,A3,Votes!$H:$H,"Roll call")</f>
        <v>12</v>
      </c>
      <c r="D3" s="10" t="n">
        <f aca="false">IF(B3=0,"",C3/B3)</f>
        <v>0.324324324324324</v>
      </c>
      <c r="E3" s="9" t="n">
        <f aca="false">COUNTIFS(Votes!$A:$A,A3,Votes!$J:$J,"&gt;=10")</f>
        <v>5</v>
      </c>
      <c r="F3" s="10" t="n">
        <f aca="false">IFERROR(AVERAGEIFS(Votes!$O:$O,Votes!$A:$A,A3,Votes!$H:$H,"Roll call"),"")</f>
        <v>0.866507476163964</v>
      </c>
      <c r="G3" s="9" t="n">
        <f aca="false">SUMIFS(Votes!$J:$J,Votes!$A:$A,A3)</f>
        <v>156</v>
      </c>
      <c r="H3" s="9" t="s">
        <v>201</v>
      </c>
    </row>
    <row r="4" customFormat="false" ht="15" hidden="false" customHeight="false" outlineLevel="0" collapsed="false">
      <c r="A4" s="9" t="s">
        <v>145</v>
      </c>
      <c r="B4" s="9" t="n">
        <f aca="false">COUNTIFS(Votes!$A:$A,A4)</f>
        <v>31</v>
      </c>
      <c r="C4" s="9" t="n">
        <f aca="false">COUNTIFS(Votes!$A:$A,A4,Votes!$H:$H,"Roll call")</f>
        <v>19</v>
      </c>
      <c r="D4" s="10" t="n">
        <f aca="false">IF(B4=0,"",C4/B4)</f>
        <v>0.612903225806452</v>
      </c>
      <c r="E4" s="9" t="n">
        <f aca="false">COUNTIFS(Votes!$A:$A,A4,Votes!$J:$J,"&gt;=10")</f>
        <v>4</v>
      </c>
      <c r="F4" s="10" t="n">
        <f aca="false">IFERROR(AVERAGEIFS(Votes!$O:$O,Votes!$A:$A,A4,Votes!$H:$H,"Roll call"),"")</f>
        <v>0.898604957877505</v>
      </c>
      <c r="G4" s="9" t="n">
        <f aca="false">SUMIFS(Votes!$J:$J,Votes!$A:$A,A4)</f>
        <v>185</v>
      </c>
      <c r="H4" s="9" t="s">
        <v>202</v>
      </c>
    </row>
    <row r="5" customFormat="false" ht="15" hidden="false" customHeight="false" outlineLevel="0" collapsed="false">
      <c r="A5" s="11" t="s">
        <v>203</v>
      </c>
      <c r="B5" s="11" t="n">
        <f aca="false">SUM(B2:B4)</f>
        <v>103</v>
      </c>
      <c r="C5" s="11" t="n">
        <f aca="false">SUM(C2:C4)</f>
        <v>47</v>
      </c>
      <c r="D5" s="12" t="n">
        <f aca="false">IF(B5=0,"",C5/B5)</f>
        <v>0.456310679611651</v>
      </c>
      <c r="E5" s="11" t="n">
        <f aca="false">SUM(E2:E4)</f>
        <v>13</v>
      </c>
      <c r="F5" s="12" t="n">
        <f aca="false">IFERROR(AVERAGEIFS(Votes!$O:$O,Votes!$H:$H,"Roll call"),"")</f>
        <v>0.892827298007847</v>
      </c>
      <c r="G5" s="11" t="n">
        <f aca="false">SUM(G2:G4)</f>
        <v>488</v>
      </c>
      <c r="H5" s="11"/>
    </row>
    <row r="7" customFormat="false" ht="15" hidden="false" customHeight="false" outlineLevel="0" collapsed="false">
      <c r="A7" s="13" t="s">
        <v>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5" hidden="false" customHeight="false" outlineLevel="0" collapsed="false">
      <c r="A1" s="14" t="s">
        <v>205</v>
      </c>
      <c r="B1" s="14" t="s">
        <v>206</v>
      </c>
    </row>
    <row r="2" customFormat="false" ht="35.05" hidden="false" customHeight="false" outlineLevel="0" collapsed="false">
      <c r="A2" s="15" t="s">
        <v>207</v>
      </c>
      <c r="B2" s="16" t="s">
        <v>208</v>
      </c>
    </row>
    <row r="3" customFormat="false" ht="46.25" hidden="false" customHeight="false" outlineLevel="0" collapsed="false">
      <c r="A3" s="15" t="s">
        <v>23</v>
      </c>
      <c r="B3" s="16" t="s">
        <v>209</v>
      </c>
    </row>
    <row r="4" customFormat="false" ht="23.85" hidden="false" customHeight="false" outlineLevel="0" collapsed="false">
      <c r="A4" s="15" t="s">
        <v>210</v>
      </c>
      <c r="B4" s="16" t="s">
        <v>211</v>
      </c>
    </row>
    <row r="5" customFormat="false" ht="15" hidden="false" customHeight="false" outlineLevel="0" collapsed="false">
      <c r="A5" s="15" t="s">
        <v>212</v>
      </c>
      <c r="B5" s="16" t="s">
        <v>213</v>
      </c>
    </row>
    <row r="6" customFormat="false" ht="23.85" hidden="false" customHeight="false" outlineLevel="0" collapsed="false">
      <c r="A6" s="15" t="s">
        <v>214</v>
      </c>
      <c r="B6" s="16" t="s">
        <v>215</v>
      </c>
    </row>
    <row r="7" customFormat="false" ht="57.45" hidden="false" customHeight="false" outlineLevel="0" collapsed="false">
      <c r="A7" s="15" t="s">
        <v>216</v>
      </c>
      <c r="B7" s="16" t="s">
        <v>217</v>
      </c>
    </row>
    <row r="8" customFormat="false" ht="15" hidden="false" customHeight="false" outlineLevel="0" collapsed="false">
      <c r="A8" s="15" t="s">
        <v>10</v>
      </c>
      <c r="B8" s="16" t="s">
        <v>218</v>
      </c>
    </row>
    <row r="9" customFormat="false" ht="23.85" hidden="false" customHeight="false" outlineLevel="0" collapsed="false">
      <c r="A9" s="15" t="s">
        <v>219</v>
      </c>
      <c r="B9" s="16" t="s">
        <v>220</v>
      </c>
    </row>
    <row r="10" customFormat="false" ht="23.85" hidden="false" customHeight="false" outlineLevel="0" collapsed="false">
      <c r="A10" s="15" t="s">
        <v>15</v>
      </c>
      <c r="B10" s="16" t="s">
        <v>221</v>
      </c>
    </row>
    <row r="11" customFormat="false" ht="23.85" hidden="false" customHeight="false" outlineLevel="0" collapsed="false">
      <c r="A11" s="15" t="s">
        <v>222</v>
      </c>
      <c r="B11" s="16" t="s">
        <v>223</v>
      </c>
    </row>
    <row r="12" customFormat="false" ht="35.05" hidden="false" customHeight="false" outlineLevel="0" collapsed="false">
      <c r="A12" s="15" t="s">
        <v>224</v>
      </c>
      <c r="B12" s="16" t="s">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2026-09-21T22:18:25Z</dcterms:created>
  <dc:creator>openpyxl</dc:creator>
  <dc:description/>
  <dc:language>en-US</dc:language>
  <cp:lastModifiedBy/>
  <dcterms:modified xsi:type="dcterms:W3CDTF">2026-09-21T22:18:26Z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